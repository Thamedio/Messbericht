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Messbericht/"/>
    </mc:Choice>
  </mc:AlternateContent>
  <xr:revisionPtr revIDLastSave="750" documentId="8_{29819F75-B7CC-4DB8-B918-09840C4B8ADC}" xr6:coauthVersionLast="47" xr6:coauthVersionMax="47" xr10:uidLastSave="{66CBCF14-CFF5-4569-87E8-354C7AC50C07}"/>
  <bookViews>
    <workbookView xWindow="-120" yWindow="-120" windowWidth="29040" windowHeight="15990" xr2:uid="{00000000-000D-0000-FFFF-FFFF00000000}"/>
  </bookViews>
  <sheets>
    <sheet name="Stammdaten" sheetId="28" r:id="rId1"/>
    <sheet name="AG 20" sheetId="27" r:id="rId2"/>
  </sheets>
  <functionGroups builtInGroupCount="19"/>
  <definedNames>
    <definedName name="_xleta.IMAGE" hidden="1" xlm="1">#NAME?</definedName>
    <definedName name="_xlnm.Print_Area" localSheetId="1">'AG 20'!$A$1:$T$42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27" l="1"/>
  <c r="E1" i="27"/>
  <c r="F6" i="27"/>
  <c r="I3" i="27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<sst xmlns="http://schemas.openxmlformats.org/spreadsheetml/2006/main" count="83" uniqueCount="73">
  <si>
    <t>Kunde:</t>
  </si>
  <si>
    <t>Freigabe:</t>
  </si>
  <si>
    <t>Name</t>
  </si>
  <si>
    <t>Datum</t>
  </si>
  <si>
    <t>Toleranz</t>
  </si>
  <si>
    <t>Teile</t>
  </si>
  <si>
    <t>Prüfzyklus:</t>
  </si>
  <si>
    <t>Wert min.</t>
  </si>
  <si>
    <t>Wert max.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</si>
  <si>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</si>
  <si>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</si>
  <si>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</si>
  <si>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</si>
  <si>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</si>
  <si>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</si>
  <si>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</si>
  <si>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</si>
  <si>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</si>
  <si>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</si>
  <si>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</si>
  <si>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</si>
  <si>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</si>
  <si>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</si>
  <si>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</si>
  <si>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</si>
  <si>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</si>
  <si>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</si>
  <si>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</si>
  <si>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</si>
  <si>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</si>
  <si>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</si>
  <si>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</si>
  <si>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</si>
  <si>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</si>
  <si>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</si>
  <si>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</si>
  <si>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</si>
  <si>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</si>
  <si>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</si>
  <si>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</si>
  <si>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</si>
  <si>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</si>
  <si>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</si>
  <si>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</si>
  <si>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</si>
  <si>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</si>
  <si>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</si>
  <si>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</si>
  <si>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Klauke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</si>
  <si>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</si>
  <si>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</si>
  <si>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</si>
  <si>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</si>
  <si>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</si>
  <si>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</si>
  <si>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</si>
  <si>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</si>
  <si>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</si>
  <si>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</si>
  <si>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</si>
  <si>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Gustav Klauke GmbH</t>
  </si>
  <si>
    <t>HE18814-WS2636128147-LOT-2</t>
  </si>
  <si>
    <t>KLA-HE18814</t>
  </si>
  <si>
    <t>EN AW-2024</t>
  </si>
  <si>
    <t>Info2:</t>
  </si>
  <si>
    <t>C</t>
  </si>
  <si>
    <t>HE.18814</t>
  </si>
  <si>
    <t>Artikelordner:</t>
  </si>
  <si>
    <t>Auftragsordner:</t>
  </si>
  <si>
    <t>\\MS01\Datenpfad\Betriebsorganisation\Fertigungsdaten\K\Klauke\KLA-HE18814\</t>
  </si>
  <si>
    <t>38595-01-007</t>
  </si>
  <si>
    <t>Halter Mapax Maincor (Pos. 00070) _x000D_
Herstellerkennung: eine Rille, x = ø 35 mm_x000D_
Zeichnungs-Nr.: HE.18814 Rev. C</t>
  </si>
  <si>
    <t>\\mothes-cnc.local\Freigaben\Datenpfad\Fauser\Auftragsunterlagen\2023\38500\38595\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</si>
</sst>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1" fillId="0" borderId="0" xfId="0" applyFont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 vertical="top"/>
    </xf>
    <xf numFmtId="0" fontId="3" fillId="5" borderId="11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4" fillId="5" borderId="21" xfId="0" applyFont="1" applyFill="1" applyBorder="1"/>
    <xf numFmtId="49" fontId="0" fillId="3" borderId="25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4" xfId="0" applyNumberFormat="1" applyFill="1" applyBorder="1"/>
    <xf numFmtId="49" fontId="0" fillId="3" borderId="41" xfId="0" applyNumberFormat="1" applyFill="1" applyBorder="1"/>
    <xf numFmtId="49" fontId="0" fillId="2" borderId="42" xfId="0" applyNumberFormat="1" applyFill="1" applyBorder="1"/>
    <xf numFmtId="49" fontId="0" fillId="3" borderId="42" xfId="0" applyNumberFormat="1" applyFill="1" applyBorder="1"/>
    <xf numFmtId="49" fontId="0" fillId="2" borderId="40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37" xfId="0" applyBorder="1" applyAlignment="1">
      <alignment horizontal="right"/>
    </xf>
    <xf numFmtId="0" fontId="0" fillId="0" borderId="42" xfId="0" applyBorder="1" applyAlignment="1">
      <alignment horizontal="right"/>
    </xf>
    <xf numFmtId="0" fontId="0" fillId="0" borderId="40" xfId="0" applyBorder="1" applyAlignment="1">
      <alignment horizontal="right"/>
    </xf>
    <xf numFmtId="0" fontId="1" fillId="3" borderId="17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49" fontId="2" fillId="7" borderId="47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1" fillId="7" borderId="48" xfId="0" applyNumberFormat="1" applyFont="1" applyFill="1" applyBorder="1" applyAlignment="1">
      <alignment horizontal="center" vertical="center"/>
    </xf>
    <xf numFmtId="49" fontId="0" fillId="7" borderId="48" xfId="0" applyNumberFormat="1" applyFill="1" applyBorder="1" applyAlignment="1">
      <alignment horizontal="center" vertical="center"/>
    </xf>
    <xf numFmtId="49" fontId="2" fillId="7" borderId="48" xfId="0" applyNumberFormat="1" applyFont="1" applyFill="1" applyBorder="1" applyAlignment="1">
      <alignment horizontal="center" vertical="center"/>
    </xf>
    <xf numFmtId="49" fontId="1" fillId="2" borderId="47" xfId="0" applyNumberFormat="1" applyFont="1" applyFill="1" applyBorder="1" applyAlignment="1">
      <alignment horizontal="center" vertical="center"/>
    </xf>
    <xf numFmtId="49" fontId="0" fillId="2" borderId="47" xfId="0" applyNumberForma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2" borderId="47" xfId="0" applyNumberFormat="1" applyFont="1" applyFill="1" applyBorder="1" applyAlignment="1">
      <alignment horizontal="center" vertical="center"/>
    </xf>
    <xf numFmtId="49" fontId="0" fillId="7" borderId="47" xfId="0" applyNumberFormat="1" applyFill="1" applyBorder="1" applyAlignment="1">
      <alignment horizontal="center" vertical="center"/>
    </xf>
    <xf numFmtId="164" fontId="1" fillId="3" borderId="47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1" fillId="3" borderId="49" xfId="0" applyNumberFormat="1" applyFont="1" applyFill="1" applyBorder="1" applyAlignment="1">
      <alignment horizontal="center" vertical="center"/>
    </xf>
    <xf numFmtId="164" fontId="0" fillId="3" borderId="49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49" fontId="0" fillId="7" borderId="50" xfId="0" applyNumberFormat="1" applyFill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4" fillId="5" borderId="0" xfId="0" applyFont="1" applyFill="1"/>
    <xf numFmtId="0" fontId="1" fillId="0" borderId="0" xfId="0" applyFont="1" applyAlignment="1">
      <alignment vertical="center"/>
    </xf>
    <xf numFmtId="49" fontId="7" fillId="6" borderId="16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right"/>
    </xf>
    <xf numFmtId="0" fontId="4" fillId="5" borderId="33" xfId="0" applyFont="1" applyFill="1" applyBorder="1"/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49" fontId="0" fillId="0" borderId="36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1" fillId="0" borderId="37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40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5" borderId="27" xfId="0" applyFont="1" applyFill="1" applyBorder="1" applyAlignment="1">
      <alignment horizontal="center" vertical="top"/>
    </xf>
    <xf numFmtId="0" fontId="1" fillId="2" borderId="50" xfId="0" applyFont="1" applyFill="1" applyBorder="1" applyAlignment="1">
      <alignment horizontal="center"/>
    </xf>
    <xf numFmtId="164" fontId="2" fillId="0" borderId="5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0" fontId="4" fillId="5" borderId="32" xfId="0" applyFont="1" applyFill="1" applyBorder="1"/>
    <xf numFmtId="0" fontId="4" fillId="5" borderId="36" xfId="0" applyFont="1" applyFill="1" applyBorder="1"/>
    <xf numFmtId="0" fontId="1" fillId="0" borderId="42" xfId="0" applyFont="1" applyBorder="1" applyAlignment="1">
      <alignment horizontal="right"/>
    </xf>
    <xf numFmtId="0" fontId="1" fillId="0" borderId="40" xfId="0" applyFont="1" applyBorder="1" applyAlignment="1">
      <alignment horizontal="right"/>
    </xf>
    <xf numFmtId="0" fontId="10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47" xfId="0" applyNumberFormat="1" applyFill="1" applyBorder="1" applyAlignment="1">
      <alignment horizontal="center" vertical="center"/>
    </xf>
    <xf numFmtId="164" fontId="2" fillId="2" borderId="47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" fillId="7" borderId="34" xfId="0" applyFont="1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4" fontId="1" fillId="0" borderId="37" xfId="0" applyNumberFormat="1" applyFont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164" fontId="1" fillId="0" borderId="45" xfId="0" applyNumberFormat="1" applyFont="1" applyBorder="1" applyAlignment="1">
      <alignment horizontal="center" vertical="center"/>
    </xf>
    <xf numFmtId="164" fontId="2" fillId="0" borderId="46" xfId="0" applyNumberFormat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32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51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34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0" fillId="7" borderId="52" xfId="1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10" fillId="5" borderId="20" xfId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5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connections" Target="connections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Betriebsorganisation\Fertigungsdaten\K\Klauke\KLA-HE18814\Zeichnungsdaten\KLA-HE18814-C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20"/>
  <sheetViews>
    <sheetView tabSelected="1" workbookViewId="0">
      <selection activeCell="B4" sqref="B4"/>
    </sheetView>
  </sheetViews>
  <sheetFormatPr baseColWidth="10" defaultRowHeight="12.75" x14ac:dyDescent="0.2"/>
  <cols>
    <col min="1" max="1" width="25.7109375" customWidth="1"/>
    <col min="2" max="2" width="18.7109375" customWidth="1"/>
  </cols>
  <sheetData>
    <row r="1" spans="1:4" ht="15" x14ac:dyDescent="0.2">
      <c r="A1" s="98" t="s">
        <v>59</v>
      </c>
      <c r="B1" s="98"/>
      <c r="C1" s="98"/>
      <c r="D1" s="98"/>
    </row>
    <row r="3" spans="1:4" x14ac:dyDescent="0.2">
      <c r="A3" t="s">
        <v>50</v>
      </c>
      <c r="B3" s="3" t="s">
        <v>70</v>
      </c>
    </row>
    <row r="5" spans="1:4" x14ac:dyDescent="0.2">
      <c r="A5" t="s">
        <v>51</v>
      </c>
      <c r="B5" t="s">
        <v>70</v>
      </c>
    </row>
    <row r="6" spans="1:4" x14ac:dyDescent="0.2">
      <c r="A6" t="s">
        <v>52</v>
      </c>
      <c r="B6">
        <v>43640</v>
      </c>
    </row>
    <row r="7" spans="1:4" ht="102" x14ac:dyDescent="0.2">
      <c r="A7" t="s">
        <v>33</v>
      </c>
      <c r="B7" s="96" t="s">
        <v>71</v>
      </c>
    </row>
    <row r="8" spans="1:4" x14ac:dyDescent="0.2">
      <c r="A8" t="s">
        <v>57</v>
      </c>
      <c r="B8" t="s">
        <v>61</v>
      </c>
    </row>
    <row r="9" spans="1:4" x14ac:dyDescent="0.2">
      <c r="A9" t="s">
        <v>32</v>
      </c>
      <c r="B9" t="s">
        <v>62</v>
      </c>
    </row>
    <row r="10" spans="1:4" x14ac:dyDescent="0.2">
      <c r="A10" t="s">
        <v>53</v>
      </c>
      <c r="B10" t="s">
        <v>66</v>
      </c>
    </row>
    <row r="11" spans="1:4" x14ac:dyDescent="0.2">
      <c r="A11" t="s">
        <v>54</v>
      </c>
      <c r="B11" t="s">
        <v>65</v>
      </c>
    </row>
    <row r="12" spans="1:4" x14ac:dyDescent="0.2">
      <c r="A12" t="s">
        <v>35</v>
      </c>
      <c r="B12" t="s">
        <v>63</v>
      </c>
    </row>
    <row r="13" spans="1:4" x14ac:dyDescent="0.2">
      <c r="A13" t="s">
        <v>55</v>
      </c>
      <c r="B13">
        <v>0</v>
      </c>
    </row>
    <row r="14" spans="1:4" x14ac:dyDescent="0.2">
      <c r="A14" t="s">
        <v>56</v>
      </c>
      <c r="B14" s="97">
        <v>45302</v>
      </c>
    </row>
    <row r="15" spans="1:4" x14ac:dyDescent="0.2">
      <c r="A15" t="s">
        <v>58</v>
      </c>
      <c r="B15">
        <v>5</v>
      </c>
    </row>
    <row r="16" spans="1:4" x14ac:dyDescent="0.2">
      <c r="A16" t="s">
        <v>0</v>
      </c>
      <c r="B16" t="s">
        <v>60</v>
      </c>
    </row>
    <row r="17" spans="1:2" x14ac:dyDescent="0.2">
      <c r="A17" t="s">
        <v>64</v>
      </c>
      <c r="B17" t="s">
        <v>48</v>
      </c>
    </row>
    <row r="19" spans="1:2" x14ac:dyDescent="0.2">
      <c r="A19" t="s">
        <v>67</v>
      </c>
      <c r="B19" t="s">
        <v>69</v>
      </c>
    </row>
    <row r="20" spans="1:2" x14ac:dyDescent="0.2">
      <c r="A20" t="s">
        <v>68</v>
      </c>
      <c r="B20" t="s">
        <v>72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zoomScaleNormal="100" workbookViewId="0">
      <selection activeCell="O26" sqref="O26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52" t="e" vm="1">
        <v>#VALUE!</v>
      </c>
      <c r="B1" s="153"/>
      <c r="C1" s="153"/>
      <c r="D1" s="154"/>
      <c r="E1" s="163" t="str">
        <f>HYPERLINK(Stammdaten!B19,"Artikeldaten")</f>
        <v>Artikeldaten</v>
      </c>
      <c r="F1" s="140"/>
      <c r="G1" s="141"/>
      <c r="H1" s="163" t="str">
        <f>HYPERLINK(Stammdaten!B20,"Auftragsdaten")</f>
        <v>Auftragsdaten</v>
      </c>
      <c r="I1" s="140"/>
      <c r="J1" s="141"/>
      <c r="K1" s="17"/>
      <c r="L1" s="17" t="str">
        <f>"\\MS01\Datenpfad\Fauser\Zeichnungen\" &amp; F2 &amp; ".jpg"</f>
        <v>\\MS01\Datenpfad\Fauser\Zeichnungen\KLA-HE18814.jpg</v>
      </c>
      <c r="M1" s="17"/>
      <c r="N1" s="17"/>
      <c r="O1" s="17"/>
      <c r="P1" s="88"/>
      <c r="Q1" s="64"/>
      <c r="R1" s="65"/>
      <c r="S1" s="65"/>
      <c r="T1" s="72"/>
    </row>
    <row r="2" spans="1:20" ht="15" customHeight="1" x14ac:dyDescent="0.2">
      <c r="A2" s="155"/>
      <c r="B2" s="156"/>
      <c r="C2" s="156"/>
      <c r="D2" s="156"/>
      <c r="E2" s="30" t="s">
        <v>32</v>
      </c>
      <c r="F2" s="150" t="str">
        <f>Stammdaten!B9</f>
        <v>KLA-HE18814</v>
      </c>
      <c r="G2" s="151"/>
      <c r="H2" s="30" t="s">
        <v>37</v>
      </c>
      <c r="I2" s="150">
        <f>Stammdaten!B6</f>
        <v>43640</v>
      </c>
      <c r="J2" s="159"/>
      <c r="K2" s="67"/>
      <c r="L2" s="67"/>
      <c r="M2" s="67"/>
      <c r="N2" s="67"/>
      <c r="O2" s="67"/>
      <c r="P2" s="71"/>
      <c r="Q2" s="66"/>
      <c r="R2" s="68"/>
      <c r="S2" s="68"/>
      <c r="T2" s="73"/>
    </row>
    <row r="3" spans="1:20" ht="15" customHeight="1" x14ac:dyDescent="0.2">
      <c r="A3" s="155"/>
      <c r="B3" s="156"/>
      <c r="C3" s="156"/>
      <c r="D3" s="156"/>
      <c r="E3" s="31" t="s">
        <v>33</v>
      </c>
      <c r="F3" s="132" t="str">
        <f>Stammdaten!B7</f>
        <v>Halter Mapax Maincor (Pos. 00070) _x000D_
Herstellerkennung: eine Rille, x = ø 35 mm_x000D_
Zeichnungs-Nr.: HE.18814 Rev. C</v>
      </c>
      <c r="G3" s="133"/>
      <c r="H3" s="31" t="s">
        <v>38</v>
      </c>
      <c r="I3" s="130" t="str">
        <f>Stammdaten!B5</f>
        <v>38595-01-007</v>
      </c>
      <c r="J3" s="149"/>
      <c r="K3" s="67"/>
      <c r="L3" s="67"/>
      <c r="M3" s="67"/>
      <c r="N3" s="67"/>
      <c r="O3" s="67"/>
      <c r="P3" s="71"/>
      <c r="Q3" s="66"/>
      <c r="R3" s="68"/>
      <c r="S3" s="68"/>
      <c r="T3" s="73"/>
    </row>
    <row r="4" spans="1:20" ht="15" customHeight="1" x14ac:dyDescent="0.2">
      <c r="A4" s="155"/>
      <c r="B4" s="156"/>
      <c r="C4" s="156"/>
      <c r="D4" s="156"/>
      <c r="E4" s="31" t="s">
        <v>0</v>
      </c>
      <c r="F4" s="130" t="str">
        <f>Stammdaten!B16</f>
        <v>Gustav Klauke GmbH</v>
      </c>
      <c r="G4" s="131"/>
      <c r="H4" s="31" t="s">
        <v>36</v>
      </c>
      <c r="I4" s="130"/>
      <c r="J4" s="149"/>
      <c r="K4" s="67"/>
      <c r="L4" s="67"/>
      <c r="M4" s="67"/>
      <c r="N4" s="67"/>
      <c r="O4" s="67"/>
      <c r="P4" s="71"/>
      <c r="Q4" s="66"/>
      <c r="R4" s="68"/>
      <c r="S4" s="68"/>
      <c r="T4" s="73"/>
    </row>
    <row r="5" spans="1:20" ht="15" customHeight="1" x14ac:dyDescent="0.2">
      <c r="A5" s="155"/>
      <c r="B5" s="156"/>
      <c r="C5" s="156"/>
      <c r="D5" s="156"/>
      <c r="E5" s="31" t="s">
        <v>34</v>
      </c>
      <c r="F5" s="131" t="str">
        <f>Stammdaten!B10</f>
        <v>HE.18814</v>
      </c>
      <c r="G5" s="148"/>
      <c r="H5" s="31" t="s">
        <v>14</v>
      </c>
      <c r="I5" s="130"/>
      <c r="J5" s="149"/>
      <c r="K5" s="67"/>
      <c r="L5" s="67"/>
      <c r="M5" s="67"/>
      <c r="N5" s="67"/>
      <c r="O5" s="67"/>
      <c r="P5" s="71"/>
      <c r="Q5" s="66"/>
      <c r="R5" s="68"/>
      <c r="S5" s="68"/>
      <c r="T5" s="73"/>
    </row>
    <row r="6" spans="1:20" ht="15" customHeight="1" thickBot="1" x14ac:dyDescent="0.25">
      <c r="A6" s="155"/>
      <c r="B6" s="156"/>
      <c r="C6" s="156"/>
      <c r="D6" s="156"/>
      <c r="E6" s="90" t="s">
        <v>45</v>
      </c>
      <c r="F6" s="130" t="str">
        <f>Stammdaten!B11</f>
        <v>C</v>
      </c>
      <c r="G6" s="131"/>
      <c r="H6" s="91" t="s">
        <v>46</v>
      </c>
      <c r="I6" s="160" t="s">
        <v>47</v>
      </c>
      <c r="J6" s="139"/>
      <c r="K6" s="67"/>
      <c r="L6" s="67"/>
      <c r="M6" s="67"/>
      <c r="N6" s="67"/>
      <c r="O6" s="67"/>
      <c r="P6" s="71"/>
      <c r="Q6" s="66"/>
      <c r="R6" s="68"/>
      <c r="S6" s="68"/>
      <c r="T6" s="73"/>
    </row>
    <row r="7" spans="1:20" ht="15" customHeight="1" thickBot="1" x14ac:dyDescent="0.25">
      <c r="A7" s="157"/>
      <c r="B7" s="158"/>
      <c r="C7" s="158"/>
      <c r="D7" s="158"/>
      <c r="E7" s="32" t="s">
        <v>35</v>
      </c>
      <c r="F7" s="138" t="str">
        <f>Stammdaten!B12</f>
        <v>EN AW-2024</v>
      </c>
      <c r="G7" s="139"/>
      <c r="H7" s="92" t="str">
        <f>HYPERLINK("\\MS01\Datenpfad\Fauser\Zeichnungen\" &amp; F2 &amp; ".jpg", "Zeichnung")</f>
        <v>Zeichnung</v>
      </c>
      <c r="I7" s="161" t="s">
        <v>49</v>
      </c>
      <c r="J7" s="162"/>
      <c r="K7" s="67"/>
      <c r="L7" s="67"/>
      <c r="M7" s="67"/>
      <c r="N7" s="67"/>
      <c r="O7" s="67"/>
      <c r="P7" s="71"/>
      <c r="Q7" s="66"/>
      <c r="R7" s="68"/>
      <c r="S7" s="68"/>
      <c r="T7" s="73"/>
    </row>
    <row r="8" spans="1:20" ht="15" customHeight="1" thickBot="1" x14ac:dyDescent="0.25">
      <c r="A8" s="142" t="s">
        <v>40</v>
      </c>
      <c r="B8" s="143"/>
      <c r="C8" s="143"/>
      <c r="D8" s="144"/>
      <c r="E8" s="70"/>
      <c r="F8" s="61"/>
      <c r="G8" s="62"/>
      <c r="H8" s="70"/>
      <c r="I8" s="74"/>
      <c r="J8" s="75"/>
      <c r="K8" s="67"/>
      <c r="L8" s="67"/>
      <c r="M8" s="67"/>
      <c r="N8" s="67"/>
      <c r="O8" s="67"/>
      <c r="P8" s="71"/>
      <c r="Q8" s="66"/>
      <c r="R8" s="68"/>
      <c r="S8" s="68"/>
      <c r="T8" s="73"/>
    </row>
    <row r="9" spans="1:20" ht="15" customHeight="1" thickBot="1" x14ac:dyDescent="0.25">
      <c r="A9" s="76"/>
      <c r="B9" s="145" t="s">
        <v>2</v>
      </c>
      <c r="C9" s="145"/>
      <c r="D9" s="15" t="s">
        <v>3</v>
      </c>
      <c r="E9" s="70"/>
      <c r="F9" s="61"/>
      <c r="G9" s="62"/>
      <c r="H9" s="70"/>
      <c r="I9" s="74"/>
      <c r="J9" s="75"/>
      <c r="K9" s="67"/>
      <c r="L9" s="67"/>
      <c r="M9" s="67"/>
      <c r="N9" s="67"/>
      <c r="O9" s="67"/>
      <c r="P9" s="71"/>
      <c r="Q9" s="142" t="s">
        <v>40</v>
      </c>
      <c r="R9" s="143"/>
      <c r="S9" s="143"/>
      <c r="T9" s="144"/>
    </row>
    <row r="10" spans="1:20" ht="15" customHeight="1" thickBot="1" x14ac:dyDescent="0.25">
      <c r="A10" s="77" t="s">
        <v>39</v>
      </c>
      <c r="B10" s="146"/>
      <c r="C10" s="147"/>
      <c r="D10" s="78"/>
      <c r="E10" s="70"/>
      <c r="F10" s="61"/>
      <c r="G10" s="62"/>
      <c r="H10" s="70"/>
      <c r="I10" s="74"/>
      <c r="J10" s="75"/>
      <c r="K10" s="67"/>
      <c r="L10" s="67"/>
      <c r="M10" s="67"/>
      <c r="N10" s="67"/>
      <c r="O10" s="67"/>
      <c r="P10" s="67"/>
      <c r="Q10" s="76"/>
      <c r="R10" s="145" t="s">
        <v>2</v>
      </c>
      <c r="S10" s="145"/>
      <c r="T10" s="15" t="s">
        <v>3</v>
      </c>
    </row>
    <row r="11" spans="1:20" ht="15" customHeight="1" thickBot="1" x14ac:dyDescent="0.25">
      <c r="A11" s="79" t="s">
        <v>1</v>
      </c>
      <c r="B11" s="99"/>
      <c r="C11" s="100"/>
      <c r="D11" s="81"/>
      <c r="E11" s="70"/>
      <c r="F11" s="61"/>
      <c r="G11" s="62"/>
      <c r="H11" s="70"/>
      <c r="I11" s="74"/>
      <c r="J11" s="75"/>
      <c r="K11" s="89"/>
      <c r="L11" s="89"/>
      <c r="M11" s="89"/>
      <c r="N11" s="89"/>
      <c r="O11" s="89"/>
      <c r="P11" s="89"/>
      <c r="Q11" s="79" t="s">
        <v>39</v>
      </c>
      <c r="R11" s="80"/>
      <c r="S11" s="80"/>
      <c r="T11" s="81"/>
    </row>
    <row r="12" spans="1:20" ht="14.25" customHeight="1" thickBot="1" x14ac:dyDescent="0.25">
      <c r="A12" s="104" t="s">
        <v>16</v>
      </c>
      <c r="B12" s="105"/>
      <c r="C12" s="69" t="s">
        <v>18</v>
      </c>
      <c r="D12" s="69" t="s">
        <v>17</v>
      </c>
      <c r="E12" s="69" t="s">
        <v>19</v>
      </c>
      <c r="F12" s="69" t="s">
        <v>20</v>
      </c>
      <c r="G12" s="69" t="s">
        <v>21</v>
      </c>
      <c r="H12" s="69" t="s">
        <v>22</v>
      </c>
      <c r="I12" s="69" t="s">
        <v>23</v>
      </c>
      <c r="J12" s="69" t="s">
        <v>24</v>
      </c>
      <c r="K12" s="69" t="s">
        <v>25</v>
      </c>
      <c r="L12" s="69" t="s">
        <v>26</v>
      </c>
      <c r="M12" s="69" t="s">
        <v>27</v>
      </c>
      <c r="N12" s="69" t="s">
        <v>28</v>
      </c>
      <c r="O12" s="69" t="s">
        <v>29</v>
      </c>
      <c r="P12" s="69" t="s">
        <v>30</v>
      </c>
      <c r="Q12" s="69" t="s">
        <v>31</v>
      </c>
      <c r="R12" s="106" t="s">
        <v>6</v>
      </c>
      <c r="S12" s="107"/>
      <c r="T12" s="108"/>
    </row>
    <row r="13" spans="1:20" ht="16.350000000000001" customHeight="1" thickBot="1" x14ac:dyDescent="0.25">
      <c r="A13" s="112" t="s">
        <v>43</v>
      </c>
      <c r="B13" s="113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109"/>
      <c r="S13" s="110"/>
      <c r="T13" s="111"/>
    </row>
    <row r="14" spans="1:20" ht="16.350000000000001" customHeight="1" thickBot="1" x14ac:dyDescent="0.25">
      <c r="A14" s="114" t="s">
        <v>4</v>
      </c>
      <c r="B14" s="115"/>
      <c r="C14" s="36"/>
      <c r="D14" s="36"/>
      <c r="E14" s="36"/>
      <c r="F14" s="37"/>
      <c r="G14" s="36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116">
        <v>0</v>
      </c>
      <c r="S14" s="117"/>
      <c r="T14" s="122" t="s">
        <v>5</v>
      </c>
    </row>
    <row r="15" spans="1:20" ht="16.350000000000001" customHeight="1" thickBot="1" x14ac:dyDescent="0.25">
      <c r="A15" s="125" t="s">
        <v>12</v>
      </c>
      <c r="B15" s="126"/>
      <c r="C15" s="39"/>
      <c r="D15" s="39"/>
      <c r="E15" s="39"/>
      <c r="F15" s="40"/>
      <c r="G15" s="39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118"/>
      <c r="S15" s="119"/>
      <c r="T15" s="123"/>
    </row>
    <row r="16" spans="1:20" ht="16.350000000000001" customHeight="1" thickBot="1" x14ac:dyDescent="0.25">
      <c r="A16" s="127" t="s">
        <v>44</v>
      </c>
      <c r="B16" s="128"/>
      <c r="C16" s="42"/>
      <c r="D16" s="42"/>
      <c r="E16" s="42"/>
      <c r="F16" s="43"/>
      <c r="G16" s="42"/>
      <c r="H16" s="44"/>
      <c r="I16" s="45"/>
      <c r="J16" s="45"/>
      <c r="K16" s="45"/>
      <c r="L16" s="45"/>
      <c r="M16" s="45"/>
      <c r="N16" s="45"/>
      <c r="O16" s="45"/>
      <c r="P16" s="45"/>
      <c r="Q16" s="45"/>
      <c r="R16" s="118"/>
      <c r="S16" s="119"/>
      <c r="T16" s="123"/>
    </row>
    <row r="17" spans="1:29" ht="16.350000000000001" customHeight="1" thickBot="1" x14ac:dyDescent="0.25">
      <c r="A17" s="125" t="s">
        <v>15</v>
      </c>
      <c r="B17" s="129"/>
      <c r="C17" s="46"/>
      <c r="D17" s="40"/>
      <c r="E17" s="46"/>
      <c r="F17" s="40"/>
      <c r="G17" s="46"/>
      <c r="H17" s="46"/>
      <c r="I17" s="46"/>
      <c r="J17" s="40"/>
      <c r="K17" s="63"/>
      <c r="L17" s="63"/>
      <c r="M17" s="63"/>
      <c r="N17" s="63"/>
      <c r="O17" s="63"/>
      <c r="P17" s="46"/>
      <c r="Q17" s="40"/>
      <c r="R17" s="118"/>
      <c r="S17" s="119"/>
      <c r="T17" s="123"/>
    </row>
    <row r="18" spans="1:29" ht="16.350000000000001" customHeight="1" thickBot="1" x14ac:dyDescent="0.25">
      <c r="A18" s="34" t="s">
        <v>11</v>
      </c>
      <c r="B18" s="33"/>
      <c r="C18" s="47" t="str">
        <f>IFERROR(AVERAGE(C19,C20),"")</f>
        <v/>
      </c>
      <c r="D18" s="47" t="str">
        <f t="shared" ref="D18:Q18" si="0">IFERROR(AVERAGE(D19,D20),"")</f>
        <v/>
      </c>
      <c r="E18" s="47" t="str">
        <f t="shared" si="0"/>
        <v/>
      </c>
      <c r="F18" s="47" t="str">
        <f t="shared" si="0"/>
        <v/>
      </c>
      <c r="G18" s="47" t="str">
        <f t="shared" si="0"/>
        <v/>
      </c>
      <c r="H18" s="47" t="str">
        <f t="shared" si="0"/>
        <v/>
      </c>
      <c r="I18" s="47" t="str">
        <f t="shared" si="0"/>
        <v/>
      </c>
      <c r="J18" s="47" t="str">
        <f t="shared" si="0"/>
        <v/>
      </c>
      <c r="K18" s="47"/>
      <c r="L18" s="47"/>
      <c r="M18" s="47"/>
      <c r="N18" s="47"/>
      <c r="O18" s="47"/>
      <c r="P18" s="47" t="str">
        <f t="shared" si="0"/>
        <v/>
      </c>
      <c r="Q18" s="47" t="str">
        <f t="shared" si="0"/>
        <v/>
      </c>
      <c r="R18" s="120"/>
      <c r="S18" s="121"/>
      <c r="T18" s="124"/>
    </row>
    <row r="19" spans="1:29" ht="16.350000000000001" customHeight="1" x14ac:dyDescent="0.2">
      <c r="A19" s="87" t="s">
        <v>41</v>
      </c>
      <c r="B19" s="10" t="s">
        <v>8</v>
      </c>
      <c r="C19" s="48"/>
      <c r="D19" s="48"/>
      <c r="E19" s="48"/>
      <c r="F19" s="48"/>
      <c r="G19" s="48"/>
      <c r="H19" s="49"/>
      <c r="I19" s="48"/>
      <c r="J19" s="48"/>
      <c r="K19" s="48"/>
      <c r="L19" s="48"/>
      <c r="M19" s="48"/>
      <c r="N19" s="48"/>
      <c r="O19" s="48"/>
      <c r="P19" s="49"/>
      <c r="Q19" s="49"/>
      <c r="R19" s="134" t="s">
        <v>3</v>
      </c>
      <c r="S19" s="136" t="s">
        <v>13</v>
      </c>
      <c r="T19" s="101" t="s">
        <v>9</v>
      </c>
    </row>
    <row r="20" spans="1:29" ht="16.350000000000001" customHeight="1" thickBot="1" x14ac:dyDescent="0.25">
      <c r="A20" s="12" t="s">
        <v>42</v>
      </c>
      <c r="B20" s="11" t="s">
        <v>7</v>
      </c>
      <c r="C20" s="50"/>
      <c r="D20" s="50"/>
      <c r="E20" s="50"/>
      <c r="F20" s="50"/>
      <c r="G20" s="50"/>
      <c r="H20" s="51"/>
      <c r="I20" s="50"/>
      <c r="J20" s="50"/>
      <c r="K20" s="50"/>
      <c r="L20" s="50"/>
      <c r="M20" s="50"/>
      <c r="N20" s="50"/>
      <c r="O20" s="50"/>
      <c r="P20" s="51"/>
      <c r="Q20" s="51"/>
      <c r="R20" s="135"/>
      <c r="S20" s="137"/>
      <c r="T20" s="102"/>
    </row>
    <row r="21" spans="1:29" ht="16.350000000000001" customHeight="1" thickBot="1" x14ac:dyDescent="0.25">
      <c r="A21" s="82"/>
      <c r="B21" s="83"/>
      <c r="C21" s="93"/>
      <c r="D21" s="94"/>
      <c r="E21" s="94"/>
      <c r="F21" s="94"/>
      <c r="G21" s="94"/>
      <c r="H21" s="95"/>
      <c r="I21" s="94"/>
      <c r="J21" s="94"/>
      <c r="K21" s="94"/>
      <c r="L21" s="94"/>
      <c r="M21" s="94"/>
      <c r="N21" s="94"/>
      <c r="O21" s="94"/>
      <c r="P21" s="95"/>
      <c r="Q21" s="95"/>
      <c r="R21" s="84"/>
      <c r="S21" s="85"/>
      <c r="T21" s="86"/>
    </row>
    <row r="22" spans="1:29" s="2" customFormat="1" ht="20.100000000000001" customHeight="1" x14ac:dyDescent="0.25">
      <c r="A22" s="8"/>
      <c r="B22" s="9">
        <v>1</v>
      </c>
      <c r="C22" s="52"/>
      <c r="D22" s="54"/>
      <c r="E22" s="53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22"/>
      <c r="S22" s="26"/>
      <c r="T22" s="18"/>
      <c r="U22" s="16"/>
      <c r="V22" s="16"/>
      <c r="W22" s="16"/>
      <c r="X22" s="16"/>
      <c r="Y22" s="16"/>
      <c r="Z22" s="16"/>
      <c r="AA22" s="16"/>
      <c r="AB22" s="16"/>
      <c r="AC22" s="16"/>
    </row>
    <row r="23" spans="1:29" s="2" customFormat="1" ht="20.100000000000001" customHeight="1" x14ac:dyDescent="0.25">
      <c r="A23" s="13"/>
      <c r="B23" s="4">
        <v>2</v>
      </c>
      <c r="C23" s="55"/>
      <c r="D23" s="56"/>
      <c r="E23" s="57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23"/>
      <c r="S23" s="27"/>
      <c r="T23" s="19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ht="20.100000000000001" customHeight="1" x14ac:dyDescent="0.25">
      <c r="A24" s="6"/>
      <c r="B24" s="7">
        <v>3</v>
      </c>
      <c r="C24" s="58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24"/>
      <c r="S24" s="28"/>
      <c r="T24" s="20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s="2" customFormat="1" ht="20.100000000000001" customHeight="1" x14ac:dyDescent="0.25">
      <c r="A25" s="13"/>
      <c r="B25" s="4">
        <v>4</v>
      </c>
      <c r="C25" s="55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23"/>
      <c r="S25" s="27"/>
      <c r="T25" s="19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ht="20.100000000000001" customHeight="1" x14ac:dyDescent="0.25">
      <c r="A26" s="6"/>
      <c r="B26" s="7">
        <v>5</v>
      </c>
      <c r="C26" s="58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24"/>
      <c r="S26" s="28"/>
      <c r="T26" s="20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s="2" customFormat="1" ht="20.100000000000001" customHeight="1" x14ac:dyDescent="0.25">
      <c r="A27" s="13"/>
      <c r="B27" s="4">
        <v>6</v>
      </c>
      <c r="C27" s="55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23"/>
      <c r="S27" s="27"/>
      <c r="T27" s="19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ht="20.100000000000001" customHeight="1" x14ac:dyDescent="0.25">
      <c r="A28" s="6"/>
      <c r="B28" s="7">
        <v>7</v>
      </c>
      <c r="C28" s="58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24"/>
      <c r="S28" s="28"/>
      <c r="T28" s="20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s="2" customFormat="1" ht="20.100000000000001" customHeight="1" x14ac:dyDescent="0.25">
      <c r="A29" s="13"/>
      <c r="B29" s="4">
        <v>8</v>
      </c>
      <c r="C29" s="55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23"/>
      <c r="S29" s="27"/>
      <c r="T29" s="19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ht="20.100000000000001" customHeight="1" x14ac:dyDescent="0.25">
      <c r="A30" s="6"/>
      <c r="B30" s="7">
        <v>9</v>
      </c>
      <c r="C30" s="58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24"/>
      <c r="S30" s="28"/>
      <c r="T30" s="20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s="2" customFormat="1" ht="20.100000000000001" customHeight="1" x14ac:dyDescent="0.25">
      <c r="A31" s="13"/>
      <c r="B31" s="4">
        <v>10</v>
      </c>
      <c r="C31" s="55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23"/>
      <c r="S31" s="27"/>
      <c r="T31" s="19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ht="20.100000000000001" customHeight="1" x14ac:dyDescent="0.25">
      <c r="A32" s="6"/>
      <c r="B32" s="7">
        <v>11</v>
      </c>
      <c r="C32" s="58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24"/>
      <c r="S32" s="28"/>
      <c r="T32" s="20"/>
    </row>
    <row r="33" spans="1:20" ht="20.100000000000001" customHeight="1" x14ac:dyDescent="0.25">
      <c r="A33" s="13"/>
      <c r="B33" s="4">
        <v>12</v>
      </c>
      <c r="C33" s="55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23"/>
      <c r="S33" s="27"/>
      <c r="T33" s="19"/>
    </row>
    <row r="34" spans="1:20" ht="20.100000000000001" customHeight="1" x14ac:dyDescent="0.25">
      <c r="A34" s="6"/>
      <c r="B34" s="7">
        <v>13</v>
      </c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24"/>
      <c r="S34" s="28"/>
      <c r="T34" s="20"/>
    </row>
    <row r="35" spans="1:20" ht="20.100000000000001" customHeight="1" x14ac:dyDescent="0.25">
      <c r="A35" s="13"/>
      <c r="B35" s="4">
        <v>14</v>
      </c>
      <c r="C35" s="55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23"/>
      <c r="S35" s="27"/>
      <c r="T35" s="19"/>
    </row>
    <row r="36" spans="1:20" ht="20.100000000000001" customHeight="1" x14ac:dyDescent="0.25">
      <c r="A36" s="6"/>
      <c r="B36" s="7">
        <v>15</v>
      </c>
      <c r="C36" s="58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24"/>
      <c r="S36" s="28"/>
      <c r="T36" s="20"/>
    </row>
    <row r="37" spans="1:20" ht="20.100000000000001" customHeight="1" x14ac:dyDescent="0.25">
      <c r="A37" s="13"/>
      <c r="B37" s="4">
        <v>16</v>
      </c>
      <c r="C37" s="55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23"/>
      <c r="S37" s="27"/>
      <c r="T37" s="19"/>
    </row>
    <row r="38" spans="1:20" ht="20.100000000000001" customHeight="1" x14ac:dyDescent="0.25">
      <c r="A38" s="6"/>
      <c r="B38" s="7">
        <v>17</v>
      </c>
      <c r="C38" s="58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24"/>
      <c r="S38" s="28"/>
      <c r="T38" s="20"/>
    </row>
    <row r="39" spans="1:20" ht="20.100000000000001" customHeight="1" x14ac:dyDescent="0.25">
      <c r="A39" s="13"/>
      <c r="B39" s="4">
        <v>18</v>
      </c>
      <c r="C39" s="55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23"/>
      <c r="S39" s="27"/>
      <c r="T39" s="19"/>
    </row>
    <row r="40" spans="1:20" ht="20.100000000000001" customHeight="1" x14ac:dyDescent="0.25">
      <c r="A40" s="6"/>
      <c r="B40" s="7">
        <v>19</v>
      </c>
      <c r="C40" s="58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24"/>
      <c r="S40" s="28"/>
      <c r="T40" s="20"/>
    </row>
    <row r="41" spans="1:20" ht="20.100000000000001" customHeight="1" thickBot="1" x14ac:dyDescent="0.3">
      <c r="A41" s="14"/>
      <c r="B41" s="5">
        <v>20</v>
      </c>
      <c r="C41" s="6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25"/>
      <c r="S41" s="29"/>
      <c r="T41" s="21"/>
    </row>
    <row r="42" spans="1:20" ht="16.350000000000001" customHeight="1" x14ac:dyDescent="0.2">
      <c r="A42" s="1"/>
      <c r="B42" s="1"/>
      <c r="D42" s="1"/>
      <c r="F42" s="103" t="s">
        <v>10</v>
      </c>
      <c r="G42" s="103"/>
      <c r="H42" s="103"/>
      <c r="I42" s="103"/>
      <c r="J42" s="103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  <mergeCell ref="F6:G6"/>
    <mergeCell ref="F4:G4"/>
    <mergeCell ref="F3:G3"/>
    <mergeCell ref="R19:R20"/>
    <mergeCell ref="S19:S20"/>
    <mergeCell ref="F7:G7"/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</mergeCells>
  <phoneticPr fontId="9" type="noConversion"/>
  <conditionalFormatting sqref="C22:C41">
    <cfRule type="cellIs" dxfId="4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3" priority="1">
      <formula>LEN(TRIM(C22))=0</formula>
    </cfRule>
  </conditionalFormatting>
  <conditionalFormatting sqref="C23:Q23 C25:Q25 C27:Q27 C29:Q29 C31:Q31 C33:Q33 C35:Q35 C37:Q37 C39:Q39 C41:Q41">
    <cfRule type="containsBlanks" dxfId="2" priority="2">
      <formula>LEN(TRIM(C23))=0</formula>
    </cfRule>
  </conditionalFormatting>
  <conditionalFormatting sqref="D22:D41">
    <cfRule type="cellIs" dxfId="1" priority="4" operator="notBetween">
      <formula>$D$19</formula>
      <formula>$D$20</formula>
    </cfRule>
  </conditionalFormatting>
  <conditionalFormatting sqref="E22:Q41">
    <cfRule type="cellIs" dxfId="0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Stammdaten</vt:lpstr>
      <vt:lpstr>AG 20</vt:lpstr>
      <vt:lpstr>'AG 20'!Druckbereich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2024-10-24T11:48:40Z</dcterms:modified>
</cp:coreProperties>
</file>