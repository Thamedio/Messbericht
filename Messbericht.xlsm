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327" documentId="8_{29819F75-B7CC-4DB8-B918-09840C4B8ADC}" xr6:coauthVersionLast="47" xr6:coauthVersionMax="47" xr10:uidLastSave="{746A4C72-F6FA-4AD9-9933-DF80DA912407}"/>
  <bookViews>
    <workbookView xWindow="-120" yWindow="-120" windowWidth="29040" windowHeight="15990" xr2:uid="{00000000-000D-0000-FFFF-FFFF00000000}"/>
  </bookViews>
  <sheets>
    <sheet name="Stammdaten" sheetId="28" r:id="rId1"/>
    <sheet name="Digital" sheetId="27" r:id="rId2"/>
    <sheet name="AG 20 " sheetId="4" r:id="rId3"/>
    <sheet name="AG 30" sheetId="23" r:id="rId4"/>
    <sheet name="AG 40" sheetId="24" r:id="rId5"/>
    <sheet name="AG 50" sheetId="25" r:id="rId6"/>
    <sheet name="AG 60" sheetId="26" r:id="rId7"/>
  </sheets>
  <functionGroups builtInGroupCount="19"/>
  <definedNames>
    <definedName name="_xleta.IMAGE" hidden="1" xlm="1">#NAME?</definedName>
    <definedName name="_xlnm.Print_Area" localSheetId="2">'AG 20 '!$A$1:$O$42</definedName>
    <definedName name="_xlnm.Print_Area" localSheetId="3">'AG 30'!$A$1:$O$42</definedName>
    <definedName name="_xlnm.Print_Area" localSheetId="4">'AG 40'!$A$1:$O$42</definedName>
    <definedName name="_xlnm.Print_Area" localSheetId="5">'AG 50'!$A$1:$O$42</definedName>
    <definedName name="_xlnm.Print_Area" localSheetId="6">'AG 60'!$A$1:$O$42</definedName>
    <definedName name="_xlnm.Print_Area" localSheetId="1">Digital!$A$1:$T$42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7" l="1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L19" i="26"/>
  <c r="K19" i="26"/>
  <c r="J19" i="26"/>
  <c r="I19" i="26"/>
  <c r="H19" i="26"/>
  <c r="G19" i="26"/>
  <c r="F19" i="26"/>
  <c r="E19" i="26"/>
  <c r="D19" i="26"/>
  <c r="C19" i="26"/>
  <c r="L19" i="25"/>
  <c r="K19" i="25"/>
  <c r="J19" i="25"/>
  <c r="I19" i="25"/>
  <c r="H19" i="25"/>
  <c r="G19" i="25"/>
  <c r="F19" i="25"/>
  <c r="E19" i="25"/>
  <c r="D19" i="25"/>
  <c r="C19" i="25"/>
  <c r="L19" i="24"/>
  <c r="K19" i="24"/>
  <c r="J19" i="24"/>
  <c r="I19" i="24"/>
  <c r="H19" i="24"/>
  <c r="G19" i="24"/>
  <c r="F19" i="24"/>
  <c r="E19" i="24"/>
  <c r="D19" i="24"/>
  <c r="C19" i="24"/>
  <c r="L19" i="23"/>
  <c r="K19" i="23"/>
  <c r="J19" i="23"/>
  <c r="I19" i="23"/>
  <c r="H19" i="23"/>
  <c r="G19" i="23"/>
  <c r="F19" i="23"/>
  <c r="E19" i="23"/>
  <c r="D19" i="23"/>
  <c r="C19" i="23"/>
  <c r="D19" i="4"/>
  <c r="E19" i="4"/>
  <c r="F19" i="4"/>
  <c r="G19" i="4"/>
  <c r="H19" i="4"/>
  <c r="I19" i="4"/>
  <c r="J19" i="4"/>
  <c r="K19" i="4"/>
  <c r="L19" i="4"/>
  <c r="C19" i="4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<sst xmlns="http://schemas.openxmlformats.org/spreadsheetml/2006/main" count="307" uniqueCount="98">
  <si>
    <t>Bez.:</t>
  </si>
  <si>
    <t>Kunde:</t>
  </si>
  <si>
    <t>Art.-Nr.:</t>
  </si>
  <si>
    <t>Prüfmaß</t>
  </si>
  <si>
    <t>Zeichn.-Nr.:</t>
  </si>
  <si>
    <t>Material :</t>
  </si>
  <si>
    <t>geprüft:</t>
  </si>
  <si>
    <t>Freigabe:</t>
  </si>
  <si>
    <t>Name</t>
  </si>
  <si>
    <t>Datum</t>
  </si>
  <si>
    <t>erstellt:</t>
  </si>
  <si>
    <t>Bemerkungen :</t>
  </si>
  <si>
    <t>[Foto-1]</t>
  </si>
  <si>
    <t>[Foto-2]</t>
  </si>
  <si>
    <t>Toleranz</t>
  </si>
  <si>
    <t>Werkz.Korr. Nr.</t>
  </si>
  <si>
    <t>Maß Nr.</t>
  </si>
  <si>
    <t>AG-Farbe</t>
  </si>
  <si>
    <t>PM-1</t>
  </si>
  <si>
    <t>PM-2</t>
  </si>
  <si>
    <t>PM-3</t>
  </si>
  <si>
    <t>PM-4</t>
  </si>
  <si>
    <t>PM-5</t>
  </si>
  <si>
    <t>PM-6</t>
  </si>
  <si>
    <t>PM-7</t>
  </si>
  <si>
    <t>PM-8</t>
  </si>
  <si>
    <t>PM-9</t>
  </si>
  <si>
    <t>Teile</t>
  </si>
  <si>
    <t>Prüfzyklus:</t>
  </si>
  <si>
    <t>Auftragsdaten</t>
  </si>
  <si>
    <t>Teil Nr.</t>
  </si>
  <si>
    <t>Wert min.</t>
  </si>
  <si>
    <t>Wert max.</t>
  </si>
  <si>
    <t>↓</t>
  </si>
  <si>
    <t>PM-10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</si>
  <si>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</si>
  <si>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</si>
  <si>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</si>
  <si>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</si>
  <si>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</si>
  <si>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Charge:</t>
  </si>
  <si>
    <t>Auftrag: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</si>
  <si>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</si>
  <si>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</si>
  <si>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</si>
  <si>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</si>
  <si>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</si>
  <si>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</si>
  <si>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</si>
  <si>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</si>
  <si>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</si>
  <si>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</si>
  <si>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</si>
  <si>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</si>
  <si>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</si>
  <si>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</si>
  <si>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</si>
  <si>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</si>
  <si>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</si>
  <si>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</si>
  <si>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</si>
  <si>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</si>
  <si>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</si>
  <si>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Artikeldaten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</si>
  <si>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</si>
  <si>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</si>
  <si>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</si>
  <si>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</si>
  <si>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</si>
  <si>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</si>
  <si>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</si>
  <si>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</si>
  <si>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</si>
  <si>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</si>
  <si>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</si>
  <si>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</si>
  <si>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</si>
  <si>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Klauke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</si>
  <si>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</si>
  <si>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</si>
  <si>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</si>
  <si>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</si>
  <si>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</si>
  <si>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</si>
  <si>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</si>
  <si>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</si>
  <si>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</si>
  <si>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</si>
  <si>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</si>
  <si>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Gustav Klauke GmbH</t>
  </si>
  <si>
    <t>LG-43654-01-001</t>
  </si>
  <si>
    <t>Halter Mapax Maincor_x000D_
Herstellerkennung: eine Rille, x = ø 35 mm</t>
  </si>
  <si>
    <t>HE18814-WS2636128147-LOT-2</t>
  </si>
  <si>
    <t>KLA-HE18814</t>
  </si>
  <si>
    <t>EN AW-2024</t>
  </si>
  <si>
    <t>Info2:</t>
  </si>
  <si>
    <t>C</t>
  </si>
  <si>
    <t>HE.18814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</si>
</sst>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0"/>
      <name val="Arial"/>
    </font>
    <font>
      <b/>
      <sz val="18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2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color rgb="FFFF000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1ED26"/>
        <bgColor indexed="64"/>
      </patternFill>
    </fill>
    <fill>
      <patternFill patternType="solid">
        <fgColor rgb="FF09F3FF"/>
        <bgColor indexed="64"/>
      </patternFill>
    </fill>
    <fill>
      <patternFill patternType="solid">
        <fgColor rgb="FFFF9843"/>
        <bgColor indexed="64"/>
      </patternFill>
    </fill>
    <fill>
      <patternFill patternType="solid">
        <fgColor rgb="FFFF2DF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3" fillId="0" borderId="0" xfId="0" applyFont="1"/>
    <xf numFmtId="0" fontId="10" fillId="0" borderId="0" xfId="0" applyFont="1"/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 vertical="top"/>
    </xf>
    <xf numFmtId="0" fontId="3" fillId="5" borderId="16" xfId="0" applyFont="1" applyFill="1" applyBorder="1" applyAlignment="1">
      <alignment horizontal="center" vertical="top"/>
    </xf>
    <xf numFmtId="0" fontId="3" fillId="5" borderId="17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7" fillId="5" borderId="20" xfId="0" applyFont="1" applyFill="1" applyBorder="1"/>
    <xf numFmtId="0" fontId="7" fillId="5" borderId="21" xfId="0" applyFont="1" applyFill="1" applyBorder="1"/>
    <xf numFmtId="49" fontId="0" fillId="0" borderId="23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3" borderId="26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5" xfId="0" applyNumberFormat="1" applyFill="1" applyBorder="1"/>
    <xf numFmtId="0" fontId="3" fillId="6" borderId="14" xfId="0" applyFont="1" applyFill="1" applyBorder="1" applyAlignment="1">
      <alignment horizontal="center" vertical="center"/>
    </xf>
    <xf numFmtId="49" fontId="0" fillId="3" borderId="46" xfId="0" applyNumberFormat="1" applyFill="1" applyBorder="1"/>
    <xf numFmtId="49" fontId="0" fillId="2" borderId="47" xfId="0" applyNumberFormat="1" applyFill="1" applyBorder="1"/>
    <xf numFmtId="49" fontId="0" fillId="3" borderId="47" xfId="0" applyNumberFormat="1" applyFill="1" applyBorder="1"/>
    <xf numFmtId="49" fontId="0" fillId="2" borderId="45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42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5" xfId="0" applyBorder="1" applyAlignment="1">
      <alignment horizontal="right"/>
    </xf>
    <xf numFmtId="0" fontId="3" fillId="8" borderId="14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1" xfId="0" applyFon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49" fontId="4" fillId="7" borderId="5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3" fillId="7" borderId="53" xfId="0" applyNumberFormat="1" applyFont="1" applyFill="1" applyBorder="1" applyAlignment="1">
      <alignment horizontal="center" vertical="center"/>
    </xf>
    <xf numFmtId="49" fontId="0" fillId="7" borderId="53" xfId="0" applyNumberFormat="1" applyFill="1" applyBorder="1" applyAlignment="1">
      <alignment horizontal="center" vertical="center"/>
    </xf>
    <xf numFmtId="49" fontId="4" fillId="7" borderId="53" xfId="0" applyNumberFormat="1" applyFont="1" applyFill="1" applyBorder="1" applyAlignment="1">
      <alignment horizontal="center" vertical="center"/>
    </xf>
    <xf numFmtId="49" fontId="3" fillId="2" borderId="52" xfId="0" applyNumberFormat="1" applyFont="1" applyFill="1" applyBorder="1" applyAlignment="1">
      <alignment horizontal="center" vertical="center"/>
    </xf>
    <xf numFmtId="49" fontId="0" fillId="2" borderId="52" xfId="0" applyNumberForma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49" fontId="0" fillId="7" borderId="52" xfId="0" applyNumberFormat="1" applyFill="1" applyBorder="1" applyAlignment="1">
      <alignment horizontal="center" vertical="center"/>
    </xf>
    <xf numFmtId="164" fontId="3" fillId="3" borderId="52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4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0" fillId="3" borderId="13" xfId="0" applyNumberFormat="1" applyFill="1" applyBorder="1" applyAlignment="1">
      <alignment horizontal="center" vertical="center"/>
    </xf>
    <xf numFmtId="164" fontId="3" fillId="3" borderId="54" xfId="0" applyNumberFormat="1" applyFont="1" applyFill="1" applyBorder="1" applyAlignment="1">
      <alignment horizontal="center" vertical="center"/>
    </xf>
    <xf numFmtId="164" fontId="0" fillId="3" borderId="54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11" fillId="8" borderId="52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0" fontId="11" fillId="9" borderId="52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11" fillId="10" borderId="52" xfId="0" applyFont="1" applyFill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11" fillId="11" borderId="52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38" xfId="0" applyBorder="1" applyAlignment="1">
      <alignment horizontal="center"/>
    </xf>
    <xf numFmtId="49" fontId="0" fillId="7" borderId="55" xfId="0" applyNumberFormat="1" applyFill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9" xfId="0" applyFont="1" applyBorder="1" applyAlignment="1">
      <alignment vertical="center"/>
    </xf>
    <xf numFmtId="0" fontId="7" fillId="5" borderId="0" xfId="0" applyFont="1" applyFill="1"/>
    <xf numFmtId="0" fontId="3" fillId="0" borderId="0" xfId="0" applyFont="1" applyAlignment="1">
      <alignment vertical="center"/>
    </xf>
    <xf numFmtId="49" fontId="11" fillId="6" borderId="16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right"/>
    </xf>
    <xf numFmtId="0" fontId="7" fillId="5" borderId="36" xfId="0" applyFont="1" applyFill="1" applyBorder="1"/>
    <xf numFmtId="0" fontId="3" fillId="0" borderId="35" xfId="0" applyFont="1" applyBorder="1" applyAlignment="1">
      <alignment vertical="center"/>
    </xf>
    <xf numFmtId="0" fontId="3" fillId="0" borderId="36" xfId="0" applyFont="1" applyBorder="1" applyAlignment="1">
      <alignment vertical="center"/>
    </xf>
    <xf numFmtId="49" fontId="0" fillId="0" borderId="41" xfId="0" applyNumberFormat="1" applyBorder="1" applyAlignment="1">
      <alignment horizontal="center"/>
    </xf>
    <xf numFmtId="49" fontId="0" fillId="0" borderId="38" xfId="0" applyNumberFormat="1" applyBorder="1" applyAlignment="1">
      <alignment horizontal="center"/>
    </xf>
    <xf numFmtId="0" fontId="3" fillId="0" borderId="42" xfId="0" applyFont="1" applyBorder="1" applyAlignment="1">
      <alignment vertical="center"/>
    </xf>
    <xf numFmtId="0" fontId="3" fillId="0" borderId="47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45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3" fillId="5" borderId="29" xfId="0" applyFont="1" applyFill="1" applyBorder="1" applyAlignment="1">
      <alignment horizontal="center" vertical="top"/>
    </xf>
    <xf numFmtId="0" fontId="3" fillId="2" borderId="55" xfId="0" applyFont="1" applyFill="1" applyBorder="1" applyAlignment="1">
      <alignment horizontal="center"/>
    </xf>
    <xf numFmtId="164" fontId="4" fillId="0" borderId="58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3" fillId="0" borderId="31" xfId="0" applyNumberFormat="1" applyFont="1" applyBorder="1" applyAlignment="1">
      <alignment horizontal="center" vertical="center"/>
    </xf>
    <xf numFmtId="0" fontId="3" fillId="5" borderId="15" xfId="0" applyFont="1" applyFill="1" applyBorder="1" applyAlignment="1">
      <alignment horizontal="center"/>
    </xf>
    <xf numFmtId="0" fontId="7" fillId="5" borderId="35" xfId="0" applyFont="1" applyFill="1" applyBorder="1"/>
    <xf numFmtId="0" fontId="7" fillId="5" borderId="41" xfId="0" applyFont="1" applyFill="1" applyBorder="1"/>
    <xf numFmtId="0" fontId="3" fillId="0" borderId="47" xfId="0" applyFont="1" applyBorder="1" applyAlignment="1">
      <alignment horizontal="right"/>
    </xf>
    <xf numFmtId="0" fontId="3" fillId="0" borderId="45" xfId="0" applyFont="1" applyBorder="1" applyAlignment="1">
      <alignment horizontal="right"/>
    </xf>
    <xf numFmtId="0" fontId="14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52" xfId="0" applyNumberFormat="1" applyFill="1" applyBorder="1" applyAlignment="1">
      <alignment horizontal="center" vertical="center"/>
    </xf>
    <xf numFmtId="164" fontId="4" fillId="2" borderId="52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5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5" borderId="37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4" fontId="9" fillId="0" borderId="36" xfId="0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64" fontId="9" fillId="0" borderId="41" xfId="0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3" fillId="0" borderId="42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164" fontId="3" fillId="0" borderId="50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7" fillId="5" borderId="35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3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7" fillId="3" borderId="21" xfId="0" applyFont="1" applyFill="1" applyBorder="1" applyAlignment="1">
      <alignment horizontal="center"/>
    </xf>
    <xf numFmtId="0" fontId="7" fillId="3" borderId="35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37" xfId="0" applyFont="1" applyFill="1" applyBorder="1" applyAlignment="1">
      <alignment horizontal="center"/>
    </xf>
    <xf numFmtId="0" fontId="7" fillId="3" borderId="41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14" fillId="7" borderId="57" xfId="1" applyNumberFormat="1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49" fontId="0" fillId="0" borderId="27" xfId="0" applyNumberFormat="1" applyBorder="1" applyAlignment="1">
      <alignment horizontal="center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35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49" fontId="5" fillId="0" borderId="20" xfId="0" applyNumberFormat="1" applyFont="1" applyBorder="1" applyAlignment="1">
      <alignment horizontal="center" vertical="center" wrapText="1"/>
    </xf>
    <xf numFmtId="49" fontId="5" fillId="0" borderId="21" xfId="0" applyNumberFormat="1" applyFont="1" applyBorder="1" applyAlignment="1">
      <alignment horizontal="center" vertical="center" wrapText="1"/>
    </xf>
    <xf numFmtId="49" fontId="5" fillId="0" borderId="29" xfId="0" applyNumberFormat="1" applyFont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49" fontId="5" fillId="0" borderId="37" xfId="0" applyNumberFormat="1" applyFont="1" applyBorder="1" applyAlignment="1">
      <alignment horizontal="center" vertical="center" wrapText="1"/>
    </xf>
    <xf numFmtId="49" fontId="5" fillId="0" borderId="41" xfId="0" applyNumberFormat="1" applyFont="1" applyBorder="1" applyAlignment="1">
      <alignment horizontal="center" vertical="center" wrapText="1"/>
    </xf>
    <xf numFmtId="0" fontId="0" fillId="0" borderId="28" xfId="0" applyBorder="1" applyAlignment="1">
      <alignment horizontal="right"/>
    </xf>
    <xf numFmtId="0" fontId="0" fillId="0" borderId="24" xfId="0" applyBorder="1" applyAlignment="1">
      <alignment horizontal="right"/>
    </xf>
    <xf numFmtId="49" fontId="3" fillId="0" borderId="39" xfId="0" applyNumberFormat="1" applyFont="1" applyBorder="1" applyAlignment="1">
      <alignment horizontal="center"/>
    </xf>
    <xf numFmtId="49" fontId="4" fillId="0" borderId="4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33" xfId="0" applyBorder="1" applyAlignment="1">
      <alignment horizontal="right"/>
    </xf>
    <xf numFmtId="49" fontId="6" fillId="0" borderId="32" xfId="0" applyNumberFormat="1" applyFont="1" applyBorder="1" applyAlignment="1">
      <alignment horizontal="center"/>
    </xf>
    <xf numFmtId="49" fontId="6" fillId="0" borderId="34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0" borderId="11" xfId="0" applyBorder="1" applyAlignment="1">
      <alignment horizontal="right"/>
    </xf>
    <xf numFmtId="0" fontId="0" fillId="0" borderId="3" xfId="0" applyBorder="1" applyAlignment="1">
      <alignment horizontal="right"/>
    </xf>
    <xf numFmtId="49" fontId="3" fillId="0" borderId="2" xfId="0" applyNumberFormat="1" applyFont="1" applyBorder="1" applyAlignment="1">
      <alignment horizontal="center"/>
    </xf>
    <xf numFmtId="49" fontId="4" fillId="0" borderId="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</cellXfs>
  <cellStyles count="2">
    <cellStyle name="Link" xfId="1" builtinId="8"/>
    <cellStyle name="Standard" xfId="0" builtinId="0"/>
  </cellStyles>
  <dxfs count="30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3" name="Grafik 2" descr="cid:image001.png@01D383D0.BE0BD8C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B1750332-2751-4766-B6DF-CE387989C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97FA0AB7-2157-4A47-911D-28958671E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4958AF2D-F840-4240-ADE9-44F387BB6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AE04196D-DFCE-48CE-9159-1E8476D0E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Fauser\Zeichnungen\KLA-HE18814.jp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17"/>
  <sheetViews>
    <sheetView tabSelected="1" workbookViewId="0">
      <selection activeCell="B4" sqref="B4"/>
    </sheetView>
  </sheetViews>
  <sheetFormatPr baseColWidth="10" defaultRowHeight="12.75" x14ac:dyDescent="0.2"/>
  <cols>
    <col min="1" max="1" width="25.7109375" customWidth="1"/>
    <col min="2" max="2" width="18.7109375" customWidth="1"/>
  </cols>
  <sheetData>
    <row r="1" spans="1:4" ht="15" x14ac:dyDescent="0.2">
      <c r="A1" s="119" t="s">
        <v>88</v>
      </c>
      <c r="B1" s="119"/>
      <c r="C1" s="119"/>
      <c r="D1" s="119"/>
    </row>
    <row r="3" spans="1:4" x14ac:dyDescent="0.2">
      <c r="A3" t="s">
        <v>79</v>
      </c>
      <c r="B3" s="3" t="s">
        <v>90</v>
      </c>
    </row>
    <row r="5" spans="1:4" x14ac:dyDescent="0.2">
      <c r="A5" t="s">
        <v>80</v>
      </c>
      <c r="B5" t="s">
        <v>90</v>
      </c>
    </row>
    <row r="6" spans="1:4" x14ac:dyDescent="0.2">
      <c r="A6" t="s">
        <v>81</v>
      </c>
      <c r="B6">
        <v>43654</v>
      </c>
    </row>
    <row r="7" spans="1:4" ht="63.75" x14ac:dyDescent="0.2">
      <c r="A7" t="s">
        <v>61</v>
      </c>
      <c r="B7" s="117" t="s">
        <v>91</v>
      </c>
    </row>
    <row r="8" spans="1:4" x14ac:dyDescent="0.2">
      <c r="A8" t="s">
        <v>86</v>
      </c>
      <c r="B8" t="s">
        <v>92</v>
      </c>
    </row>
    <row r="9" spans="1:4" x14ac:dyDescent="0.2">
      <c r="A9" t="s">
        <v>60</v>
      </c>
      <c r="B9" t="s">
        <v>93</v>
      </c>
    </row>
    <row r="10" spans="1:4" x14ac:dyDescent="0.2">
      <c r="A10" t="s">
        <v>82</v>
      </c>
      <c r="B10" t="s">
        <v>97</v>
      </c>
    </row>
    <row r="11" spans="1:4" x14ac:dyDescent="0.2">
      <c r="A11" t="s">
        <v>83</v>
      </c>
      <c r="B11" t="s">
        <v>96</v>
      </c>
    </row>
    <row r="12" spans="1:4" x14ac:dyDescent="0.2">
      <c r="A12" t="s">
        <v>64</v>
      </c>
      <c r="B12" t="s">
        <v>94</v>
      </c>
    </row>
    <row r="13" spans="1:4" x14ac:dyDescent="0.2">
      <c r="A13" t="s">
        <v>84</v>
      </c>
      <c r="B13">
        <v>1</v>
      </c>
    </row>
    <row r="14" spans="1:4" x14ac:dyDescent="0.2">
      <c r="A14" t="s">
        <v>85</v>
      </c>
      <c r="B14" s="118">
        <v>45330</v>
      </c>
    </row>
    <row r="15" spans="1:4" x14ac:dyDescent="0.2">
      <c r="A15" t="s">
        <v>87</v>
      </c>
      <c r="B15">
        <v>194</v>
      </c>
    </row>
    <row r="16" spans="1:4" x14ac:dyDescent="0.2">
      <c r="A16" t="s">
        <v>1</v>
      </c>
      <c r="B16" t="s">
        <v>89</v>
      </c>
    </row>
    <row r="17" spans="1:2" x14ac:dyDescent="0.2">
      <c r="A17" t="s">
        <v>95</v>
      </c>
      <c r="B17" t="s">
        <v>77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zoomScaleNormal="100" workbookViewId="0">
      <selection activeCell="H24" sqref="H24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74" t="e" vm="1">
        <v>#VALUE!</v>
      </c>
      <c r="B1" s="175"/>
      <c r="C1" s="175"/>
      <c r="D1" s="176"/>
      <c r="E1" s="161" t="s">
        <v>63</v>
      </c>
      <c r="F1" s="162"/>
      <c r="G1" s="163"/>
      <c r="H1" s="161" t="s">
        <v>29</v>
      </c>
      <c r="I1" s="162"/>
      <c r="J1" s="163"/>
      <c r="K1" s="21"/>
      <c r="L1" s="21" t="str">
        <f>"\\MS01\Datenpfad\Fauser\Zeichnungen\" &amp; F2 &amp; ".jpg"</f>
        <v>\\MS01\Datenpfad\Fauser\Zeichnungen\KLA-HE18814.jpg</v>
      </c>
      <c r="M1" s="21"/>
      <c r="N1" s="21"/>
      <c r="O1" s="21"/>
      <c r="P1" s="109"/>
      <c r="Q1" s="85"/>
      <c r="R1" s="86"/>
      <c r="S1" s="86"/>
      <c r="T1" s="93"/>
    </row>
    <row r="2" spans="1:20" ht="15" customHeight="1" x14ac:dyDescent="0.2">
      <c r="A2" s="177"/>
      <c r="B2" s="178"/>
      <c r="C2" s="178"/>
      <c r="D2" s="178"/>
      <c r="E2" s="37" t="s">
        <v>60</v>
      </c>
      <c r="F2" s="172" t="str">
        <f>Stammdaten!B9</f>
        <v>KLA-HE18814</v>
      </c>
      <c r="G2" s="173"/>
      <c r="H2" s="37" t="s">
        <v>66</v>
      </c>
      <c r="I2" s="172">
        <f>Stammdaten!B6</f>
        <v>43654</v>
      </c>
      <c r="J2" s="181"/>
      <c r="K2" s="88"/>
      <c r="L2" s="88"/>
      <c r="M2" s="88"/>
      <c r="N2" s="88"/>
      <c r="O2" s="88"/>
      <c r="P2" s="92"/>
      <c r="Q2" s="87"/>
      <c r="R2" s="89"/>
      <c r="S2" s="89"/>
      <c r="T2" s="94"/>
    </row>
    <row r="3" spans="1:20" ht="15" customHeight="1" x14ac:dyDescent="0.2">
      <c r="A3" s="177"/>
      <c r="B3" s="178"/>
      <c r="C3" s="178"/>
      <c r="D3" s="178"/>
      <c r="E3" s="38" t="s">
        <v>61</v>
      </c>
      <c r="F3" s="153" t="str">
        <f>Stammdaten!B7</f>
        <v>Halter Mapax Maincor_x000D_
Herstellerkennung: eine Rille, x = ø 35 mm</v>
      </c>
      <c r="G3" s="154"/>
      <c r="H3" s="38" t="s">
        <v>67</v>
      </c>
      <c r="I3" s="151" t="str">
        <f>Stammdaten!B5</f>
        <v>LG-43654-01-001</v>
      </c>
      <c r="J3" s="171"/>
      <c r="K3" s="88"/>
      <c r="L3" s="88"/>
      <c r="M3" s="88"/>
      <c r="N3" s="88"/>
      <c r="O3" s="88"/>
      <c r="P3" s="92"/>
      <c r="Q3" s="87"/>
      <c r="R3" s="89"/>
      <c r="S3" s="89"/>
      <c r="T3" s="94"/>
    </row>
    <row r="4" spans="1:20" ht="15" customHeight="1" x14ac:dyDescent="0.2">
      <c r="A4" s="177"/>
      <c r="B4" s="178"/>
      <c r="C4" s="178"/>
      <c r="D4" s="178"/>
      <c r="E4" s="38" t="s">
        <v>1</v>
      </c>
      <c r="F4" s="151" t="str">
        <f>Stammdaten!B16</f>
        <v>Gustav Klauke GmbH</v>
      </c>
      <c r="G4" s="152"/>
      <c r="H4" s="38" t="s">
        <v>65</v>
      </c>
      <c r="I4" s="151"/>
      <c r="J4" s="171"/>
      <c r="K4" s="88"/>
      <c r="L4" s="88"/>
      <c r="M4" s="88"/>
      <c r="N4" s="88"/>
      <c r="O4" s="88"/>
      <c r="P4" s="92"/>
      <c r="Q4" s="87"/>
      <c r="R4" s="89"/>
      <c r="S4" s="89"/>
      <c r="T4" s="94"/>
    </row>
    <row r="5" spans="1:20" ht="15" customHeight="1" x14ac:dyDescent="0.2">
      <c r="A5" s="177"/>
      <c r="B5" s="178"/>
      <c r="C5" s="178"/>
      <c r="D5" s="178"/>
      <c r="E5" s="38" t="s">
        <v>62</v>
      </c>
      <c r="F5" s="152" t="str">
        <f>Stammdaten!B10</f>
        <v>HE.18814</v>
      </c>
      <c r="G5" s="170"/>
      <c r="H5" s="38" t="s">
        <v>42</v>
      </c>
      <c r="I5" s="151"/>
      <c r="J5" s="171"/>
      <c r="K5" s="88"/>
      <c r="L5" s="88"/>
      <c r="M5" s="88"/>
      <c r="N5" s="88"/>
      <c r="O5" s="88"/>
      <c r="P5" s="92"/>
      <c r="Q5" s="87"/>
      <c r="R5" s="89"/>
      <c r="S5" s="89"/>
      <c r="T5" s="94"/>
    </row>
    <row r="6" spans="1:20" ht="15" customHeight="1" thickBot="1" x14ac:dyDescent="0.25">
      <c r="A6" s="177"/>
      <c r="B6" s="178"/>
      <c r="C6" s="178"/>
      <c r="D6" s="178"/>
      <c r="E6" s="111" t="s">
        <v>74</v>
      </c>
      <c r="F6" s="151" t="s">
        <v>96</v>
      </c>
      <c r="G6" s="152"/>
      <c r="H6" s="112" t="s">
        <v>75</v>
      </c>
      <c r="I6" s="182" t="s">
        <v>76</v>
      </c>
      <c r="J6" s="160"/>
      <c r="K6" s="88"/>
      <c r="L6" s="88"/>
      <c r="M6" s="88"/>
      <c r="N6" s="88"/>
      <c r="O6" s="88"/>
      <c r="P6" s="92"/>
      <c r="Q6" s="87"/>
      <c r="R6" s="89"/>
      <c r="S6" s="89"/>
      <c r="T6" s="94"/>
    </row>
    <row r="7" spans="1:20" ht="15" customHeight="1" thickBot="1" x14ac:dyDescent="0.25">
      <c r="A7" s="179"/>
      <c r="B7" s="180"/>
      <c r="C7" s="180"/>
      <c r="D7" s="180"/>
      <c r="E7" s="39" t="s">
        <v>64</v>
      </c>
      <c r="F7" s="159" t="str">
        <f>Stammdaten!B12</f>
        <v>EN AW-2024</v>
      </c>
      <c r="G7" s="160"/>
      <c r="H7" s="113" t="str">
        <f>HYPERLINK("\\MS01\Datenpfad\Fauser\Zeichnungen\" &amp; F2 &amp; ".jpg", "Zeichnung")</f>
        <v>Zeichnung</v>
      </c>
      <c r="I7" s="183" t="s">
        <v>78</v>
      </c>
      <c r="J7" s="184"/>
      <c r="K7" s="88"/>
      <c r="L7" s="88"/>
      <c r="M7" s="88"/>
      <c r="N7" s="88"/>
      <c r="O7" s="88"/>
      <c r="P7" s="92"/>
      <c r="Q7" s="87"/>
      <c r="R7" s="89"/>
      <c r="S7" s="89"/>
      <c r="T7" s="94"/>
    </row>
    <row r="8" spans="1:20" ht="15" customHeight="1" thickBot="1" x14ac:dyDescent="0.25">
      <c r="A8" s="164" t="s">
        <v>69</v>
      </c>
      <c r="B8" s="165"/>
      <c r="C8" s="165"/>
      <c r="D8" s="166"/>
      <c r="E8" s="91"/>
      <c r="F8" s="82"/>
      <c r="G8" s="83"/>
      <c r="H8" s="91"/>
      <c r="I8" s="95"/>
      <c r="J8" s="96"/>
      <c r="K8" s="88"/>
      <c r="L8" s="88"/>
      <c r="M8" s="88"/>
      <c r="N8" s="88"/>
      <c r="O8" s="88"/>
      <c r="P8" s="92"/>
      <c r="Q8" s="87"/>
      <c r="R8" s="89"/>
      <c r="S8" s="89"/>
      <c r="T8" s="94"/>
    </row>
    <row r="9" spans="1:20" ht="15" customHeight="1" thickBot="1" x14ac:dyDescent="0.25">
      <c r="A9" s="97"/>
      <c r="B9" s="167" t="s">
        <v>8</v>
      </c>
      <c r="C9" s="167"/>
      <c r="D9" s="18" t="s">
        <v>9</v>
      </c>
      <c r="E9" s="91"/>
      <c r="F9" s="82"/>
      <c r="G9" s="83"/>
      <c r="H9" s="91"/>
      <c r="I9" s="95"/>
      <c r="J9" s="96"/>
      <c r="K9" s="88"/>
      <c r="L9" s="88"/>
      <c r="M9" s="88"/>
      <c r="N9" s="88"/>
      <c r="O9" s="88"/>
      <c r="P9" s="92"/>
      <c r="Q9" s="164" t="s">
        <v>69</v>
      </c>
      <c r="R9" s="165"/>
      <c r="S9" s="165"/>
      <c r="T9" s="166"/>
    </row>
    <row r="10" spans="1:20" ht="15" customHeight="1" thickBot="1" x14ac:dyDescent="0.25">
      <c r="A10" s="98" t="s">
        <v>68</v>
      </c>
      <c r="B10" s="168"/>
      <c r="C10" s="169"/>
      <c r="D10" s="99"/>
      <c r="E10" s="91"/>
      <c r="F10" s="82"/>
      <c r="G10" s="83"/>
      <c r="H10" s="91"/>
      <c r="I10" s="95"/>
      <c r="J10" s="96"/>
      <c r="K10" s="88"/>
      <c r="L10" s="88"/>
      <c r="M10" s="88"/>
      <c r="N10" s="88"/>
      <c r="O10" s="88"/>
      <c r="P10" s="88"/>
      <c r="Q10" s="97"/>
      <c r="R10" s="167" t="s">
        <v>8</v>
      </c>
      <c r="S10" s="167"/>
      <c r="T10" s="18" t="s">
        <v>9</v>
      </c>
    </row>
    <row r="11" spans="1:20" ht="15" customHeight="1" thickBot="1" x14ac:dyDescent="0.25">
      <c r="A11" s="100" t="s">
        <v>7</v>
      </c>
      <c r="B11" s="120"/>
      <c r="C11" s="121"/>
      <c r="D11" s="102"/>
      <c r="E11" s="91"/>
      <c r="F11" s="82"/>
      <c r="G11" s="83"/>
      <c r="H11" s="91"/>
      <c r="I11" s="95"/>
      <c r="J11" s="96"/>
      <c r="K11" s="110"/>
      <c r="L11" s="110"/>
      <c r="M11" s="110"/>
      <c r="N11" s="110"/>
      <c r="O11" s="110"/>
      <c r="P11" s="110"/>
      <c r="Q11" s="100" t="s">
        <v>68</v>
      </c>
      <c r="R11" s="101"/>
      <c r="S11" s="101"/>
      <c r="T11" s="102"/>
    </row>
    <row r="12" spans="1:20" ht="14.25" customHeight="1" thickBot="1" x14ac:dyDescent="0.25">
      <c r="A12" s="125" t="s">
        <v>44</v>
      </c>
      <c r="B12" s="126"/>
      <c r="C12" s="90" t="s">
        <v>46</v>
      </c>
      <c r="D12" s="90" t="s">
        <v>45</v>
      </c>
      <c r="E12" s="90" t="s">
        <v>47</v>
      </c>
      <c r="F12" s="90" t="s">
        <v>48</v>
      </c>
      <c r="G12" s="90" t="s">
        <v>49</v>
      </c>
      <c r="H12" s="90" t="s">
        <v>50</v>
      </c>
      <c r="I12" s="90" t="s">
        <v>51</v>
      </c>
      <c r="J12" s="90" t="s">
        <v>52</v>
      </c>
      <c r="K12" s="90" t="s">
        <v>53</v>
      </c>
      <c r="L12" s="90" t="s">
        <v>54</v>
      </c>
      <c r="M12" s="90" t="s">
        <v>55</v>
      </c>
      <c r="N12" s="90" t="s">
        <v>56</v>
      </c>
      <c r="O12" s="90" t="s">
        <v>57</v>
      </c>
      <c r="P12" s="90" t="s">
        <v>58</v>
      </c>
      <c r="Q12" s="90" t="s">
        <v>59</v>
      </c>
      <c r="R12" s="127" t="s">
        <v>28</v>
      </c>
      <c r="S12" s="128"/>
      <c r="T12" s="129"/>
    </row>
    <row r="13" spans="1:20" ht="16.350000000000001" customHeight="1" thickBot="1" x14ac:dyDescent="0.25">
      <c r="A13" s="133" t="s">
        <v>72</v>
      </c>
      <c r="B13" s="134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130"/>
      <c r="S13" s="131"/>
      <c r="T13" s="132"/>
    </row>
    <row r="14" spans="1:20" ht="16.350000000000001" customHeight="1" thickBot="1" x14ac:dyDescent="0.25">
      <c r="A14" s="135" t="s">
        <v>14</v>
      </c>
      <c r="B14" s="136"/>
      <c r="C14" s="49"/>
      <c r="D14" s="49"/>
      <c r="E14" s="49"/>
      <c r="F14" s="50"/>
      <c r="G14" s="49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137">
        <v>0</v>
      </c>
      <c r="S14" s="138"/>
      <c r="T14" s="143" t="s">
        <v>27</v>
      </c>
    </row>
    <row r="15" spans="1:20" ht="16.350000000000001" customHeight="1" thickBot="1" x14ac:dyDescent="0.25">
      <c r="A15" s="146" t="s">
        <v>38</v>
      </c>
      <c r="B15" s="147"/>
      <c r="C15" s="52"/>
      <c r="D15" s="52"/>
      <c r="E15" s="52"/>
      <c r="F15" s="53"/>
      <c r="G15" s="52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139"/>
      <c r="S15" s="140"/>
      <c r="T15" s="144"/>
    </row>
    <row r="16" spans="1:20" ht="16.350000000000001" customHeight="1" thickBot="1" x14ac:dyDescent="0.25">
      <c r="A16" s="148" t="s">
        <v>73</v>
      </c>
      <c r="B16" s="149"/>
      <c r="C16" s="55"/>
      <c r="D16" s="55"/>
      <c r="E16" s="55"/>
      <c r="F16" s="56"/>
      <c r="G16" s="55"/>
      <c r="H16" s="57"/>
      <c r="I16" s="58"/>
      <c r="J16" s="58"/>
      <c r="K16" s="58"/>
      <c r="L16" s="58"/>
      <c r="M16" s="58"/>
      <c r="N16" s="58"/>
      <c r="O16" s="58"/>
      <c r="P16" s="58"/>
      <c r="Q16" s="58"/>
      <c r="R16" s="139"/>
      <c r="S16" s="140"/>
      <c r="T16" s="144"/>
    </row>
    <row r="17" spans="1:29" ht="16.350000000000001" customHeight="1" thickBot="1" x14ac:dyDescent="0.25">
      <c r="A17" s="146" t="s">
        <v>43</v>
      </c>
      <c r="B17" s="150"/>
      <c r="C17" s="59"/>
      <c r="D17" s="53"/>
      <c r="E17" s="59"/>
      <c r="F17" s="53"/>
      <c r="G17" s="59"/>
      <c r="H17" s="59"/>
      <c r="I17" s="59"/>
      <c r="J17" s="53"/>
      <c r="K17" s="84"/>
      <c r="L17" s="84"/>
      <c r="M17" s="84"/>
      <c r="N17" s="84"/>
      <c r="O17" s="84"/>
      <c r="P17" s="59"/>
      <c r="Q17" s="53"/>
      <c r="R17" s="139"/>
      <c r="S17" s="140"/>
      <c r="T17" s="144"/>
    </row>
    <row r="18" spans="1:29" ht="16.350000000000001" customHeight="1" thickBot="1" x14ac:dyDescent="0.25">
      <c r="A18" s="46" t="s">
        <v>37</v>
      </c>
      <c r="B18" s="45"/>
      <c r="C18" s="60" t="str">
        <f>IFERROR(AVERAGE(C19,C20),"")</f>
        <v/>
      </c>
      <c r="D18" s="60" t="str">
        <f t="shared" ref="D18:Q18" si="0">IFERROR(AVERAGE(D19,D20),"")</f>
        <v/>
      </c>
      <c r="E18" s="60" t="str">
        <f t="shared" si="0"/>
        <v/>
      </c>
      <c r="F18" s="60" t="str">
        <f t="shared" si="0"/>
        <v/>
      </c>
      <c r="G18" s="60" t="str">
        <f t="shared" si="0"/>
        <v/>
      </c>
      <c r="H18" s="60" t="str">
        <f t="shared" si="0"/>
        <v/>
      </c>
      <c r="I18" s="60" t="str">
        <f t="shared" si="0"/>
        <v/>
      </c>
      <c r="J18" s="60" t="str">
        <f t="shared" si="0"/>
        <v/>
      </c>
      <c r="K18" s="60"/>
      <c r="L18" s="60"/>
      <c r="M18" s="60"/>
      <c r="N18" s="60"/>
      <c r="O18" s="60"/>
      <c r="P18" s="60" t="str">
        <f t="shared" si="0"/>
        <v/>
      </c>
      <c r="Q18" s="60" t="str">
        <f t="shared" si="0"/>
        <v/>
      </c>
      <c r="R18" s="141"/>
      <c r="S18" s="142"/>
      <c r="T18" s="145"/>
    </row>
    <row r="19" spans="1:29" ht="16.350000000000001" customHeight="1" x14ac:dyDescent="0.2">
      <c r="A19" s="108" t="s">
        <v>70</v>
      </c>
      <c r="B19" s="11" t="s">
        <v>32</v>
      </c>
      <c r="C19" s="61"/>
      <c r="D19" s="61"/>
      <c r="E19" s="61"/>
      <c r="F19" s="61"/>
      <c r="G19" s="61"/>
      <c r="H19" s="62"/>
      <c r="I19" s="61"/>
      <c r="J19" s="61"/>
      <c r="K19" s="61"/>
      <c r="L19" s="61"/>
      <c r="M19" s="61"/>
      <c r="N19" s="61"/>
      <c r="O19" s="61"/>
      <c r="P19" s="62"/>
      <c r="Q19" s="62"/>
      <c r="R19" s="155" t="s">
        <v>9</v>
      </c>
      <c r="S19" s="157" t="s">
        <v>39</v>
      </c>
      <c r="T19" s="122" t="s">
        <v>35</v>
      </c>
    </row>
    <row r="20" spans="1:29" ht="16.350000000000001" customHeight="1" thickBot="1" x14ac:dyDescent="0.25">
      <c r="A20" s="14" t="s">
        <v>71</v>
      </c>
      <c r="B20" s="12" t="s">
        <v>31</v>
      </c>
      <c r="C20" s="63"/>
      <c r="D20" s="63"/>
      <c r="E20" s="63"/>
      <c r="F20" s="63"/>
      <c r="G20" s="63"/>
      <c r="H20" s="64"/>
      <c r="I20" s="63"/>
      <c r="J20" s="63"/>
      <c r="K20" s="63"/>
      <c r="L20" s="63"/>
      <c r="M20" s="63"/>
      <c r="N20" s="63"/>
      <c r="O20" s="63"/>
      <c r="P20" s="64"/>
      <c r="Q20" s="64"/>
      <c r="R20" s="156"/>
      <c r="S20" s="158"/>
      <c r="T20" s="123"/>
    </row>
    <row r="21" spans="1:29" ht="16.350000000000001" customHeight="1" thickBot="1" x14ac:dyDescent="0.25">
      <c r="A21" s="103"/>
      <c r="B21" s="104"/>
      <c r="C21" s="114"/>
      <c r="D21" s="115"/>
      <c r="E21" s="115"/>
      <c r="F21" s="115"/>
      <c r="G21" s="115"/>
      <c r="H21" s="116"/>
      <c r="I21" s="115"/>
      <c r="J21" s="115"/>
      <c r="K21" s="115"/>
      <c r="L21" s="115"/>
      <c r="M21" s="115"/>
      <c r="N21" s="115"/>
      <c r="O21" s="115"/>
      <c r="P21" s="116"/>
      <c r="Q21" s="116"/>
      <c r="R21" s="105"/>
      <c r="S21" s="106"/>
      <c r="T21" s="107"/>
    </row>
    <row r="22" spans="1:29" s="2" customFormat="1" ht="20.100000000000001" customHeight="1" x14ac:dyDescent="0.25">
      <c r="A22" s="9"/>
      <c r="B22" s="10">
        <v>1</v>
      </c>
      <c r="C22" s="65"/>
      <c r="D22" s="68"/>
      <c r="E22" s="67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29"/>
      <c r="S22" s="33"/>
      <c r="T22" s="24"/>
      <c r="U22" s="19"/>
      <c r="V22" s="19"/>
      <c r="W22" s="19"/>
      <c r="X22" s="19"/>
      <c r="Y22" s="19"/>
      <c r="Z22" s="19"/>
      <c r="AA22" s="19"/>
      <c r="AB22" s="19"/>
      <c r="AC22" s="19"/>
    </row>
    <row r="23" spans="1:29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30"/>
      <c r="S23" s="34"/>
      <c r="T23" s="25"/>
      <c r="U23" s="19"/>
      <c r="V23" s="19"/>
      <c r="W23" s="19"/>
      <c r="X23" s="19"/>
      <c r="Y23" s="19"/>
      <c r="Z23" s="19"/>
      <c r="AA23" s="19"/>
      <c r="AB23" s="19"/>
      <c r="AC23" s="19"/>
    </row>
    <row r="24" spans="1:29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31"/>
      <c r="S24" s="35"/>
      <c r="T24" s="26"/>
      <c r="U24" s="19"/>
      <c r="V24" s="19"/>
      <c r="W24" s="19"/>
      <c r="X24" s="19"/>
      <c r="Y24" s="19"/>
      <c r="Z24" s="19"/>
      <c r="AA24" s="19"/>
      <c r="AB24" s="19"/>
      <c r="AC24" s="19"/>
    </row>
    <row r="25" spans="1:29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30"/>
      <c r="S25" s="34"/>
      <c r="T25" s="25"/>
      <c r="U25" s="19"/>
      <c r="V25" s="19"/>
      <c r="W25" s="19"/>
      <c r="X25" s="19"/>
      <c r="Y25" s="19"/>
      <c r="Z25" s="19"/>
      <c r="AA25" s="19"/>
      <c r="AB25" s="19"/>
      <c r="AC25" s="19"/>
    </row>
    <row r="26" spans="1:29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31"/>
      <c r="S26" s="35"/>
      <c r="T26" s="26"/>
      <c r="U26" s="19"/>
      <c r="V26" s="19"/>
      <c r="W26" s="19"/>
      <c r="X26" s="19"/>
      <c r="Y26" s="19"/>
      <c r="Z26" s="19"/>
      <c r="AA26" s="19"/>
      <c r="AB26" s="19"/>
      <c r="AC26" s="19"/>
    </row>
    <row r="27" spans="1:29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30"/>
      <c r="S27" s="34"/>
      <c r="T27" s="25"/>
      <c r="U27" s="19"/>
      <c r="V27" s="19"/>
      <c r="W27" s="19"/>
      <c r="X27" s="19"/>
      <c r="Y27" s="19"/>
      <c r="Z27" s="19"/>
      <c r="AA27" s="19"/>
      <c r="AB27" s="19"/>
      <c r="AC27" s="19"/>
    </row>
    <row r="28" spans="1:29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31"/>
      <c r="S28" s="35"/>
      <c r="T28" s="26"/>
      <c r="U28" s="19"/>
      <c r="V28" s="19"/>
      <c r="W28" s="19"/>
      <c r="X28" s="19"/>
      <c r="Y28" s="19"/>
      <c r="Z28" s="19"/>
      <c r="AA28" s="19"/>
      <c r="AB28" s="19"/>
      <c r="AC28" s="19"/>
    </row>
    <row r="29" spans="1:29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30"/>
      <c r="S29" s="34"/>
      <c r="T29" s="25"/>
      <c r="U29" s="19"/>
      <c r="V29" s="19"/>
      <c r="W29" s="19"/>
      <c r="X29" s="19"/>
      <c r="Y29" s="19"/>
      <c r="Z29" s="19"/>
      <c r="AA29" s="19"/>
      <c r="AB29" s="19"/>
      <c r="AC29" s="19"/>
    </row>
    <row r="30" spans="1:29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31"/>
      <c r="S30" s="35"/>
      <c r="T30" s="26"/>
      <c r="U30" s="19"/>
      <c r="V30" s="19"/>
      <c r="W30" s="19"/>
      <c r="X30" s="19"/>
      <c r="Y30" s="19"/>
      <c r="Z30" s="19"/>
      <c r="AA30" s="19"/>
      <c r="AB30" s="19"/>
      <c r="AC30" s="19"/>
    </row>
    <row r="31" spans="1:29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30"/>
      <c r="S31" s="34"/>
      <c r="T31" s="25"/>
      <c r="U31" s="19"/>
      <c r="V31" s="19"/>
      <c r="W31" s="19"/>
      <c r="X31" s="19"/>
      <c r="Y31" s="19"/>
      <c r="Z31" s="19"/>
      <c r="AA31" s="19"/>
      <c r="AB31" s="19"/>
      <c r="AC31" s="19"/>
    </row>
    <row r="32" spans="1:29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31"/>
      <c r="S32" s="35"/>
      <c r="T32" s="26"/>
    </row>
    <row r="33" spans="1:20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30"/>
      <c r="S33" s="34"/>
      <c r="T33" s="25"/>
    </row>
    <row r="34" spans="1:20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31"/>
      <c r="S34" s="35"/>
      <c r="T34" s="26"/>
    </row>
    <row r="35" spans="1:20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30"/>
      <c r="S35" s="34"/>
      <c r="T35" s="25"/>
    </row>
    <row r="36" spans="1:20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31"/>
      <c r="S36" s="35"/>
      <c r="T36" s="26"/>
    </row>
    <row r="37" spans="1:20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30"/>
      <c r="S37" s="34"/>
      <c r="T37" s="25"/>
    </row>
    <row r="38" spans="1:20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31"/>
      <c r="S38" s="35"/>
      <c r="T38" s="26"/>
    </row>
    <row r="39" spans="1:20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30"/>
      <c r="S39" s="34"/>
      <c r="T39" s="25"/>
    </row>
    <row r="40" spans="1:20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31"/>
      <c r="S40" s="35"/>
      <c r="T40" s="26"/>
    </row>
    <row r="41" spans="1:20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32"/>
      <c r="S41" s="36"/>
      <c r="T41" s="27"/>
    </row>
    <row r="42" spans="1:20" ht="16.350000000000001" customHeight="1" x14ac:dyDescent="0.2">
      <c r="A42" s="1"/>
      <c r="B42" s="1"/>
      <c r="D42" s="1"/>
      <c r="F42" s="124" t="s">
        <v>36</v>
      </c>
      <c r="G42" s="124"/>
      <c r="H42" s="124"/>
      <c r="I42" s="124"/>
      <c r="J42" s="124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  <mergeCell ref="F6:G6"/>
    <mergeCell ref="F4:G4"/>
    <mergeCell ref="F3:G3"/>
    <mergeCell ref="R19:R20"/>
    <mergeCell ref="S19:S20"/>
    <mergeCell ref="F7:G7"/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</mergeCells>
  <phoneticPr fontId="13" type="noConversion"/>
  <conditionalFormatting sqref="C22:C41">
    <cfRule type="cellIs" dxfId="29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28" priority="1">
      <formula>LEN(TRIM(C22))=0</formula>
    </cfRule>
  </conditionalFormatting>
  <conditionalFormatting sqref="C23:Q23 C25:Q25 C27:Q27 C29:Q29 C31:Q31 C33:Q33 C35:Q35 C37:Q37 C39:Q39 C41:Q41">
    <cfRule type="containsBlanks" dxfId="27" priority="2">
      <formula>LEN(TRIM(C23))=0</formula>
    </cfRule>
  </conditionalFormatting>
  <conditionalFormatting sqref="D22:D41">
    <cfRule type="cellIs" dxfId="26" priority="4" operator="notBetween">
      <formula>$D$19</formula>
      <formula>$D$20</formula>
    </cfRule>
  </conditionalFormatting>
  <conditionalFormatting sqref="E22:Q41">
    <cfRule type="cellIs" dxfId="25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X51"/>
  <sheetViews>
    <sheetView zoomScaleNormal="100" workbookViewId="0">
      <selection activeCell="G6" sqref="G6:H6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25"/>
      <c r="B1" s="226"/>
      <c r="C1" s="226"/>
      <c r="D1" s="227"/>
      <c r="E1" s="233"/>
      <c r="F1" s="233"/>
      <c r="G1" s="233"/>
      <c r="H1" s="233"/>
      <c r="I1" s="233"/>
      <c r="J1" s="233"/>
      <c r="K1" s="233"/>
      <c r="L1" s="41"/>
      <c r="M1" s="185" t="s">
        <v>8</v>
      </c>
      <c r="N1" s="186"/>
      <c r="O1" s="18" t="s">
        <v>9</v>
      </c>
    </row>
    <row r="2" spans="1:19" ht="12.95" customHeight="1" x14ac:dyDescent="0.2">
      <c r="A2" s="228"/>
      <c r="B2" s="124"/>
      <c r="C2" s="124"/>
      <c r="D2" s="229"/>
      <c r="E2" s="234"/>
      <c r="F2" s="234"/>
      <c r="G2" s="234"/>
      <c r="H2" s="234"/>
      <c r="I2" s="234"/>
      <c r="J2" s="234"/>
      <c r="K2" s="234"/>
      <c r="L2" s="42" t="s">
        <v>10</v>
      </c>
      <c r="M2" s="187"/>
      <c r="N2" s="188"/>
      <c r="O2" s="22"/>
    </row>
    <row r="3" spans="1:19" ht="12.95" customHeight="1" x14ac:dyDescent="0.2">
      <c r="A3" s="228"/>
      <c r="B3" s="124"/>
      <c r="C3" s="124"/>
      <c r="D3" s="229"/>
      <c r="E3" s="234"/>
      <c r="F3" s="234"/>
      <c r="G3" s="234"/>
      <c r="H3" s="234"/>
      <c r="I3" s="234"/>
      <c r="J3" s="234"/>
      <c r="K3" s="234"/>
      <c r="L3" s="43" t="s">
        <v>6</v>
      </c>
      <c r="M3" s="189"/>
      <c r="N3" s="190"/>
      <c r="O3" s="22"/>
    </row>
    <row r="4" spans="1:19" ht="12.95" customHeight="1" thickBot="1" x14ac:dyDescent="0.3">
      <c r="A4" s="230"/>
      <c r="B4" s="231"/>
      <c r="C4" s="231"/>
      <c r="D4" s="232"/>
      <c r="E4" s="235"/>
      <c r="F4" s="235"/>
      <c r="G4" s="235"/>
      <c r="H4" s="235"/>
      <c r="I4" s="235"/>
      <c r="J4" s="235"/>
      <c r="K4" s="235"/>
      <c r="L4" s="44" t="s">
        <v>7</v>
      </c>
      <c r="M4" s="191"/>
      <c r="N4" s="192"/>
      <c r="O4" s="23"/>
      <c r="R4" s="3"/>
      <c r="S4" s="4"/>
    </row>
    <row r="5" spans="1:19" ht="13.5" thickBot="1" x14ac:dyDescent="0.25">
      <c r="A5" s="20" t="s">
        <v>29</v>
      </c>
      <c r="B5" s="21"/>
      <c r="C5" s="162"/>
      <c r="D5" s="162"/>
      <c r="E5" s="162"/>
      <c r="F5" s="162"/>
      <c r="G5" s="162"/>
      <c r="H5" s="162"/>
      <c r="I5" s="193" t="s">
        <v>12</v>
      </c>
      <c r="J5" s="194"/>
      <c r="K5" s="194"/>
      <c r="L5" s="193" t="s">
        <v>13</v>
      </c>
      <c r="M5" s="194"/>
      <c r="N5" s="194"/>
      <c r="O5" s="195"/>
    </row>
    <row r="6" spans="1:19" ht="15" customHeight="1" x14ac:dyDescent="0.25">
      <c r="A6" s="236" t="s">
        <v>0</v>
      </c>
      <c r="B6" s="237"/>
      <c r="C6" s="238"/>
      <c r="D6" s="239"/>
      <c r="E6" s="239"/>
      <c r="F6" s="37" t="s">
        <v>5</v>
      </c>
      <c r="G6" s="240"/>
      <c r="H6" s="240"/>
      <c r="I6" s="196"/>
      <c r="J6" s="197"/>
      <c r="K6" s="197"/>
      <c r="L6" s="196"/>
      <c r="M6" s="197"/>
      <c r="N6" s="197"/>
      <c r="O6" s="198"/>
    </row>
    <row r="7" spans="1:19" ht="15" customHeight="1" x14ac:dyDescent="0.2">
      <c r="A7" s="241" t="s">
        <v>1</v>
      </c>
      <c r="B7" s="242"/>
      <c r="C7" s="243"/>
      <c r="D7" s="244"/>
      <c r="E7" s="244"/>
      <c r="F7" s="38" t="s">
        <v>40</v>
      </c>
      <c r="G7" s="245"/>
      <c r="H7" s="245"/>
      <c r="I7" s="196"/>
      <c r="J7" s="197"/>
      <c r="K7" s="197"/>
      <c r="L7" s="196"/>
      <c r="M7" s="197"/>
      <c r="N7" s="197"/>
      <c r="O7" s="198"/>
    </row>
    <row r="8" spans="1:19" ht="15" customHeight="1" x14ac:dyDescent="0.2">
      <c r="A8" s="241" t="s">
        <v>4</v>
      </c>
      <c r="B8" s="242"/>
      <c r="C8" s="243"/>
      <c r="D8" s="244"/>
      <c r="E8" s="244"/>
      <c r="F8" s="38" t="s">
        <v>41</v>
      </c>
      <c r="G8" s="245"/>
      <c r="H8" s="245"/>
      <c r="I8" s="196"/>
      <c r="J8" s="197"/>
      <c r="K8" s="197"/>
      <c r="L8" s="196"/>
      <c r="M8" s="197"/>
      <c r="N8" s="197"/>
      <c r="O8" s="198"/>
    </row>
    <row r="9" spans="1:19" ht="15" customHeight="1" thickBot="1" x14ac:dyDescent="0.25">
      <c r="A9" s="221" t="s">
        <v>2</v>
      </c>
      <c r="B9" s="222"/>
      <c r="C9" s="223"/>
      <c r="D9" s="224"/>
      <c r="E9" s="224"/>
      <c r="F9" s="39" t="s">
        <v>42</v>
      </c>
      <c r="G9" s="205"/>
      <c r="H9" s="205"/>
      <c r="I9" s="196"/>
      <c r="J9" s="197"/>
      <c r="K9" s="197"/>
      <c r="L9" s="196"/>
      <c r="M9" s="197"/>
      <c r="N9" s="197"/>
      <c r="O9" s="198"/>
    </row>
    <row r="10" spans="1:19" ht="12.75" customHeight="1" x14ac:dyDescent="0.2">
      <c r="A10" s="209" t="s">
        <v>11</v>
      </c>
      <c r="B10" s="210"/>
      <c r="C10" s="215"/>
      <c r="D10" s="216"/>
      <c r="E10" s="216"/>
      <c r="F10" s="216"/>
      <c r="G10" s="216"/>
      <c r="H10" s="216"/>
      <c r="I10" s="196"/>
      <c r="J10" s="197"/>
      <c r="K10" s="197"/>
      <c r="L10" s="196"/>
      <c r="M10" s="197"/>
      <c r="N10" s="197"/>
      <c r="O10" s="198"/>
    </row>
    <row r="11" spans="1:19" ht="21" customHeight="1" x14ac:dyDescent="0.2">
      <c r="A11" s="211"/>
      <c r="B11" s="212"/>
      <c r="C11" s="217"/>
      <c r="D11" s="218"/>
      <c r="E11" s="218"/>
      <c r="F11" s="218"/>
      <c r="G11" s="218"/>
      <c r="H11" s="218"/>
      <c r="I11" s="196"/>
      <c r="J11" s="197"/>
      <c r="K11" s="197"/>
      <c r="L11" s="196"/>
      <c r="M11" s="197"/>
      <c r="N11" s="197"/>
      <c r="O11" s="198"/>
    </row>
    <row r="12" spans="1:19" ht="20.25" customHeight="1" thickBot="1" x14ac:dyDescent="0.25">
      <c r="A12" s="213"/>
      <c r="B12" s="214"/>
      <c r="C12" s="219"/>
      <c r="D12" s="220"/>
      <c r="E12" s="220"/>
      <c r="F12" s="220"/>
      <c r="G12" s="220"/>
      <c r="H12" s="220"/>
      <c r="I12" s="199"/>
      <c r="J12" s="200"/>
      <c r="K12" s="200"/>
      <c r="L12" s="199"/>
      <c r="M12" s="200"/>
      <c r="N12" s="200"/>
      <c r="O12" s="201"/>
    </row>
    <row r="13" spans="1:19" ht="14.25" customHeight="1" thickBot="1" x14ac:dyDescent="0.25">
      <c r="A13" s="15" t="s">
        <v>16</v>
      </c>
      <c r="B13" s="28" t="s">
        <v>17</v>
      </c>
      <c r="C13" s="47" t="s">
        <v>18</v>
      </c>
      <c r="D13" s="47" t="s">
        <v>19</v>
      </c>
      <c r="E13" s="47" t="s">
        <v>20</v>
      </c>
      <c r="F13" s="47" t="s">
        <v>21</v>
      </c>
      <c r="G13" s="47" t="s">
        <v>22</v>
      </c>
      <c r="H13" s="47" t="s">
        <v>23</v>
      </c>
      <c r="I13" s="47" t="s">
        <v>24</v>
      </c>
      <c r="J13" s="47" t="s">
        <v>25</v>
      </c>
      <c r="K13" s="47" t="s">
        <v>26</v>
      </c>
      <c r="L13" s="47" t="s">
        <v>34</v>
      </c>
      <c r="M13" s="206" t="s">
        <v>28</v>
      </c>
      <c r="N13" s="207"/>
      <c r="O13" s="208"/>
    </row>
    <row r="14" spans="1:19" ht="16.350000000000001" customHeight="1" thickBot="1" x14ac:dyDescent="0.25">
      <c r="A14" s="133" t="s">
        <v>15</v>
      </c>
      <c r="B14" s="134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30"/>
      <c r="N14" s="131"/>
      <c r="O14" s="132"/>
    </row>
    <row r="15" spans="1:19" ht="16.350000000000001" customHeight="1" x14ac:dyDescent="0.2">
      <c r="A15" s="202" t="s">
        <v>3</v>
      </c>
      <c r="B15" s="136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7">
        <v>0</v>
      </c>
      <c r="N15" s="138"/>
      <c r="O15" s="143" t="s">
        <v>27</v>
      </c>
    </row>
    <row r="16" spans="1:19" ht="16.350000000000001" customHeight="1" thickBot="1" x14ac:dyDescent="0.25">
      <c r="A16" s="203" t="s">
        <v>14</v>
      </c>
      <c r="B16" s="204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9"/>
      <c r="N16" s="140"/>
      <c r="O16" s="144"/>
    </row>
    <row r="17" spans="1:24" ht="16.350000000000001" customHeight="1" thickBot="1" x14ac:dyDescent="0.25">
      <c r="A17" s="148" t="s">
        <v>38</v>
      </c>
      <c r="B17" s="149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9"/>
      <c r="N17" s="140"/>
      <c r="O17" s="144"/>
    </row>
    <row r="18" spans="1:24" ht="16.350000000000001" customHeight="1" thickBot="1" x14ac:dyDescent="0.25">
      <c r="A18" s="146" t="s">
        <v>43</v>
      </c>
      <c r="B18" s="150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9"/>
      <c r="N18" s="140"/>
      <c r="O18" s="144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" si="0">IFERROR(AVERAGE(D20,D21),"")</f>
        <v/>
      </c>
      <c r="E19" s="60" t="str">
        <f t="shared" ref="E19" si="1">IFERROR(AVERAGE(E20,E21),"")</f>
        <v/>
      </c>
      <c r="F19" s="60" t="str">
        <f t="shared" ref="F19" si="2">IFERROR(AVERAGE(F20,F21),"")</f>
        <v/>
      </c>
      <c r="G19" s="60" t="str">
        <f t="shared" ref="G19" si="3">IFERROR(AVERAGE(G20,G21),"")</f>
        <v/>
      </c>
      <c r="H19" s="60" t="str">
        <f t="shared" ref="H19" si="4">IFERROR(AVERAGE(H20,H21),"")</f>
        <v/>
      </c>
      <c r="I19" s="60" t="str">
        <f t="shared" ref="I19" si="5">IFERROR(AVERAGE(I20,I21),"")</f>
        <v/>
      </c>
      <c r="J19" s="60" t="str">
        <f t="shared" ref="J19" si="6">IFERROR(AVERAGE(J20,J21),"")</f>
        <v/>
      </c>
      <c r="K19" s="60" t="str">
        <f t="shared" ref="K19" si="7">IFERROR(AVERAGE(K20,K21),"")</f>
        <v/>
      </c>
      <c r="L19" s="60" t="str">
        <f t="shared" ref="L19" si="8">IFERROR(AVERAGE(L20,L21),"")</f>
        <v/>
      </c>
      <c r="M19" s="141"/>
      <c r="N19" s="142"/>
      <c r="O19" s="145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55" t="s">
        <v>9</v>
      </c>
      <c r="N20" s="157" t="s">
        <v>39</v>
      </c>
      <c r="O20" s="122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56"/>
      <c r="N21" s="158"/>
      <c r="O21" s="123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24" t="s">
        <v>36</v>
      </c>
      <c r="G42" s="124"/>
      <c r="H42" s="124"/>
      <c r="I42" s="124"/>
      <c r="J42" s="124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C5:H5"/>
    <mergeCell ref="A6:B6"/>
    <mergeCell ref="C6:E6"/>
    <mergeCell ref="G6:H6"/>
    <mergeCell ref="I5:K12"/>
    <mergeCell ref="A7:B7"/>
    <mergeCell ref="C7:E7"/>
    <mergeCell ref="G7:H7"/>
    <mergeCell ref="A8:B8"/>
    <mergeCell ref="C8:E8"/>
    <mergeCell ref="G8:H8"/>
    <mergeCell ref="A15:B15"/>
    <mergeCell ref="A16:B16"/>
    <mergeCell ref="G9:H9"/>
    <mergeCell ref="M13:O14"/>
    <mergeCell ref="A14:B14"/>
    <mergeCell ref="A10:B12"/>
    <mergeCell ref="C10:H12"/>
    <mergeCell ref="A9:B9"/>
    <mergeCell ref="C9:E9"/>
    <mergeCell ref="A17:B17"/>
    <mergeCell ref="F42:J42"/>
    <mergeCell ref="O20:O21"/>
    <mergeCell ref="M20:M21"/>
    <mergeCell ref="N20:N21"/>
    <mergeCell ref="A18:B18"/>
    <mergeCell ref="M1:N1"/>
    <mergeCell ref="M2:N2"/>
    <mergeCell ref="M3:N3"/>
    <mergeCell ref="M4:N4"/>
    <mergeCell ref="M15:N19"/>
    <mergeCell ref="L5:O12"/>
    <mergeCell ref="O15:O19"/>
  </mergeCells>
  <conditionalFormatting sqref="C22:C41">
    <cfRule type="cellIs" dxfId="24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23" priority="1">
      <formula>LEN(TRIM(C22))=0</formula>
    </cfRule>
  </conditionalFormatting>
  <conditionalFormatting sqref="C23:L23 C25:L25 C27:L27 C29:L29 C31:L31 C33:L33 C35:L35 C37:L37 C39:L39 C41:L41">
    <cfRule type="containsBlanks" dxfId="22" priority="2">
      <formula>LEN(TRIM(C23))=0</formula>
    </cfRule>
  </conditionalFormatting>
  <conditionalFormatting sqref="D22:D41">
    <cfRule type="cellIs" dxfId="21" priority="11" operator="notBetween">
      <formula>$D$20</formula>
      <formula>$D$21</formula>
    </cfRule>
  </conditionalFormatting>
  <conditionalFormatting sqref="E22:L41">
    <cfRule type="cellIs" dxfId="20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00000000-0002-0000-0000-000000000000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E3CE-AB61-457C-96BB-1C4108C75A07}">
  <sheetPr codeName="Tabelle3">
    <pageSetUpPr fitToPage="1"/>
  </sheetPr>
  <dimension ref="A1:X51"/>
  <sheetViews>
    <sheetView zoomScaleNormal="100" workbookViewId="0">
      <selection activeCell="A20" sqref="A20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25"/>
      <c r="B1" s="226"/>
      <c r="C1" s="226"/>
      <c r="D1" s="227"/>
      <c r="E1" s="233"/>
      <c r="F1" s="233"/>
      <c r="G1" s="233"/>
      <c r="H1" s="233"/>
      <c r="I1" s="233"/>
      <c r="J1" s="233"/>
      <c r="K1" s="233"/>
      <c r="L1" s="41"/>
      <c r="M1" s="185" t="s">
        <v>8</v>
      </c>
      <c r="N1" s="186"/>
      <c r="O1" s="18" t="s">
        <v>9</v>
      </c>
    </row>
    <row r="2" spans="1:19" ht="12.95" customHeight="1" x14ac:dyDescent="0.2">
      <c r="A2" s="228"/>
      <c r="B2" s="124"/>
      <c r="C2" s="124"/>
      <c r="D2" s="229"/>
      <c r="E2" s="234"/>
      <c r="F2" s="234"/>
      <c r="G2" s="234"/>
      <c r="H2" s="234"/>
      <c r="I2" s="234"/>
      <c r="J2" s="234"/>
      <c r="K2" s="234"/>
      <c r="L2" s="42" t="s">
        <v>10</v>
      </c>
      <c r="M2" s="187"/>
      <c r="N2" s="188"/>
      <c r="O2" s="22"/>
    </row>
    <row r="3" spans="1:19" ht="12.95" customHeight="1" x14ac:dyDescent="0.2">
      <c r="A3" s="228"/>
      <c r="B3" s="124"/>
      <c r="C3" s="124"/>
      <c r="D3" s="229"/>
      <c r="E3" s="234"/>
      <c r="F3" s="234"/>
      <c r="G3" s="234"/>
      <c r="H3" s="234"/>
      <c r="I3" s="234"/>
      <c r="J3" s="234"/>
      <c r="K3" s="234"/>
      <c r="L3" s="43" t="s">
        <v>6</v>
      </c>
      <c r="M3" s="189"/>
      <c r="N3" s="190"/>
      <c r="O3" s="22"/>
    </row>
    <row r="4" spans="1:19" ht="12.95" customHeight="1" thickBot="1" x14ac:dyDescent="0.3">
      <c r="A4" s="230"/>
      <c r="B4" s="231"/>
      <c r="C4" s="231"/>
      <c r="D4" s="232"/>
      <c r="E4" s="235"/>
      <c r="F4" s="235"/>
      <c r="G4" s="235"/>
      <c r="H4" s="235"/>
      <c r="I4" s="235"/>
      <c r="J4" s="235"/>
      <c r="K4" s="235"/>
      <c r="L4" s="44" t="s">
        <v>7</v>
      </c>
      <c r="M4" s="191"/>
      <c r="N4" s="192"/>
      <c r="O4" s="23"/>
      <c r="R4" s="3"/>
      <c r="S4" s="4"/>
    </row>
    <row r="5" spans="1:19" ht="13.5" thickBot="1" x14ac:dyDescent="0.25">
      <c r="A5" s="20" t="s">
        <v>29</v>
      </c>
      <c r="B5" s="21"/>
      <c r="C5" s="162"/>
      <c r="D5" s="162"/>
      <c r="E5" s="162"/>
      <c r="F5" s="162"/>
      <c r="G5" s="162"/>
      <c r="H5" s="162"/>
      <c r="I5" s="193" t="s">
        <v>12</v>
      </c>
      <c r="J5" s="194"/>
      <c r="K5" s="194"/>
      <c r="L5" s="193" t="s">
        <v>13</v>
      </c>
      <c r="M5" s="194"/>
      <c r="N5" s="194"/>
      <c r="O5" s="195"/>
    </row>
    <row r="6" spans="1:19" ht="15" customHeight="1" x14ac:dyDescent="0.25">
      <c r="A6" s="236" t="s">
        <v>0</v>
      </c>
      <c r="B6" s="237"/>
      <c r="C6" s="238"/>
      <c r="D6" s="239"/>
      <c r="E6" s="239"/>
      <c r="F6" s="37" t="s">
        <v>5</v>
      </c>
      <c r="G6" s="240"/>
      <c r="H6" s="240"/>
      <c r="I6" s="196"/>
      <c r="J6" s="197"/>
      <c r="K6" s="197"/>
      <c r="L6" s="196"/>
      <c r="M6" s="197"/>
      <c r="N6" s="197"/>
      <c r="O6" s="198"/>
    </row>
    <row r="7" spans="1:19" ht="15" customHeight="1" x14ac:dyDescent="0.2">
      <c r="A7" s="241" t="s">
        <v>1</v>
      </c>
      <c r="B7" s="242"/>
      <c r="C7" s="243"/>
      <c r="D7" s="244"/>
      <c r="E7" s="244"/>
      <c r="F7" s="38" t="s">
        <v>40</v>
      </c>
      <c r="G7" s="245"/>
      <c r="H7" s="245"/>
      <c r="I7" s="196"/>
      <c r="J7" s="197"/>
      <c r="K7" s="197"/>
      <c r="L7" s="196"/>
      <c r="M7" s="197"/>
      <c r="N7" s="197"/>
      <c r="O7" s="198"/>
    </row>
    <row r="8" spans="1:19" ht="15" customHeight="1" x14ac:dyDescent="0.2">
      <c r="A8" s="241" t="s">
        <v>4</v>
      </c>
      <c r="B8" s="242"/>
      <c r="C8" s="243"/>
      <c r="D8" s="244"/>
      <c r="E8" s="244"/>
      <c r="F8" s="38" t="s">
        <v>41</v>
      </c>
      <c r="G8" s="245"/>
      <c r="H8" s="245"/>
      <c r="I8" s="196"/>
      <c r="J8" s="197"/>
      <c r="K8" s="197"/>
      <c r="L8" s="196"/>
      <c r="M8" s="197"/>
      <c r="N8" s="197"/>
      <c r="O8" s="198"/>
    </row>
    <row r="9" spans="1:19" ht="15" customHeight="1" thickBot="1" x14ac:dyDescent="0.25">
      <c r="A9" s="221" t="s">
        <v>2</v>
      </c>
      <c r="B9" s="222"/>
      <c r="C9" s="223"/>
      <c r="D9" s="224"/>
      <c r="E9" s="224"/>
      <c r="F9" s="39" t="s">
        <v>42</v>
      </c>
      <c r="G9" s="205"/>
      <c r="H9" s="205"/>
      <c r="I9" s="196"/>
      <c r="J9" s="197"/>
      <c r="K9" s="197"/>
      <c r="L9" s="196"/>
      <c r="M9" s="197"/>
      <c r="N9" s="197"/>
      <c r="O9" s="198"/>
    </row>
    <row r="10" spans="1:19" ht="12.75" customHeight="1" x14ac:dyDescent="0.2">
      <c r="A10" s="209" t="s">
        <v>11</v>
      </c>
      <c r="B10" s="210"/>
      <c r="C10" s="215"/>
      <c r="D10" s="216"/>
      <c r="E10" s="216"/>
      <c r="F10" s="216"/>
      <c r="G10" s="216"/>
      <c r="H10" s="216"/>
      <c r="I10" s="196"/>
      <c r="J10" s="197"/>
      <c r="K10" s="197"/>
      <c r="L10" s="196"/>
      <c r="M10" s="197"/>
      <c r="N10" s="197"/>
      <c r="O10" s="198"/>
    </row>
    <row r="11" spans="1:19" ht="21" customHeight="1" x14ac:dyDescent="0.2">
      <c r="A11" s="211"/>
      <c r="B11" s="212"/>
      <c r="C11" s="217"/>
      <c r="D11" s="218"/>
      <c r="E11" s="218"/>
      <c r="F11" s="218"/>
      <c r="G11" s="218"/>
      <c r="H11" s="218"/>
      <c r="I11" s="196"/>
      <c r="J11" s="197"/>
      <c r="K11" s="197"/>
      <c r="L11" s="196"/>
      <c r="M11" s="197"/>
      <c r="N11" s="197"/>
      <c r="O11" s="198"/>
    </row>
    <row r="12" spans="1:19" ht="20.25" customHeight="1" thickBot="1" x14ac:dyDescent="0.25">
      <c r="A12" s="213"/>
      <c r="B12" s="214"/>
      <c r="C12" s="219"/>
      <c r="D12" s="220"/>
      <c r="E12" s="220"/>
      <c r="F12" s="220"/>
      <c r="G12" s="220"/>
      <c r="H12" s="220"/>
      <c r="I12" s="199"/>
      <c r="J12" s="200"/>
      <c r="K12" s="200"/>
      <c r="L12" s="199"/>
      <c r="M12" s="200"/>
      <c r="N12" s="200"/>
      <c r="O12" s="201"/>
    </row>
    <row r="13" spans="1:19" ht="14.25" customHeight="1" thickBot="1" x14ac:dyDescent="0.25">
      <c r="A13" s="15" t="s">
        <v>16</v>
      </c>
      <c r="B13" s="40" t="s">
        <v>17</v>
      </c>
      <c r="C13" s="75" t="s">
        <v>18</v>
      </c>
      <c r="D13" s="75" t="s">
        <v>19</v>
      </c>
      <c r="E13" s="75" t="s">
        <v>20</v>
      </c>
      <c r="F13" s="75" t="s">
        <v>21</v>
      </c>
      <c r="G13" s="75" t="s">
        <v>22</v>
      </c>
      <c r="H13" s="75" t="s">
        <v>23</v>
      </c>
      <c r="I13" s="75" t="s">
        <v>24</v>
      </c>
      <c r="J13" s="75" t="s">
        <v>25</v>
      </c>
      <c r="K13" s="75" t="s">
        <v>26</v>
      </c>
      <c r="L13" s="75" t="s">
        <v>34</v>
      </c>
      <c r="M13" s="206" t="s">
        <v>28</v>
      </c>
      <c r="N13" s="207"/>
      <c r="O13" s="208"/>
    </row>
    <row r="14" spans="1:19" ht="16.350000000000001" customHeight="1" thickBot="1" x14ac:dyDescent="0.25">
      <c r="A14" s="133" t="s">
        <v>15</v>
      </c>
      <c r="B14" s="134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30"/>
      <c r="N14" s="131"/>
      <c r="O14" s="132"/>
    </row>
    <row r="15" spans="1:19" ht="16.350000000000001" customHeight="1" x14ac:dyDescent="0.2">
      <c r="A15" s="202" t="s">
        <v>3</v>
      </c>
      <c r="B15" s="136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7">
        <v>0</v>
      </c>
      <c r="N15" s="138"/>
      <c r="O15" s="143" t="s">
        <v>27</v>
      </c>
    </row>
    <row r="16" spans="1:19" ht="16.350000000000001" customHeight="1" thickBot="1" x14ac:dyDescent="0.25">
      <c r="A16" s="203" t="s">
        <v>14</v>
      </c>
      <c r="B16" s="204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9"/>
      <c r="N16" s="140"/>
      <c r="O16" s="144"/>
    </row>
    <row r="17" spans="1:24" ht="16.350000000000001" customHeight="1" thickBot="1" x14ac:dyDescent="0.25">
      <c r="A17" s="148" t="s">
        <v>38</v>
      </c>
      <c r="B17" s="149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9"/>
      <c r="N17" s="140"/>
      <c r="O17" s="144"/>
    </row>
    <row r="18" spans="1:24" ht="16.350000000000001" customHeight="1" thickBot="1" x14ac:dyDescent="0.25">
      <c r="A18" s="146" t="s">
        <v>43</v>
      </c>
      <c r="B18" s="150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9"/>
      <c r="N18" s="140"/>
      <c r="O18" s="144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41"/>
      <c r="N19" s="142"/>
      <c r="O19" s="145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55" t="s">
        <v>9</v>
      </c>
      <c r="N20" s="157" t="s">
        <v>39</v>
      </c>
      <c r="O20" s="122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56"/>
      <c r="N21" s="158"/>
      <c r="O21" s="123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24" t="s">
        <v>36</v>
      </c>
      <c r="G42" s="124"/>
      <c r="H42" s="124"/>
      <c r="I42" s="124"/>
      <c r="J42" s="124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19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18" priority="2">
      <formula>LEN(TRIM(C22))=0</formula>
    </cfRule>
  </conditionalFormatting>
  <conditionalFormatting sqref="C23:L23 C25:L25 C27:L27 C29:L29 C31:L31 C33:L33 C35:L35 C37:L37 C39:L39 C41:L41">
    <cfRule type="containsBlanks" dxfId="17" priority="1">
      <formula>LEN(TRIM(C23))=0</formula>
    </cfRule>
  </conditionalFormatting>
  <conditionalFormatting sqref="D22:D41">
    <cfRule type="cellIs" dxfId="16" priority="11" operator="notBetween">
      <formula>$D$20</formula>
      <formula>$D$21</formula>
    </cfRule>
  </conditionalFormatting>
  <conditionalFormatting sqref="E22:L41">
    <cfRule type="cellIs" dxfId="15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91D8CFEE-DFC0-442B-B1FA-E7FEB3FB436B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94C3A-F573-4F79-AF91-48B71BB88762}">
  <sheetPr codeName="Tabelle4">
    <pageSetUpPr fitToPage="1"/>
  </sheetPr>
  <dimension ref="A1:X51"/>
  <sheetViews>
    <sheetView zoomScaleNormal="100" workbookViewId="0">
      <selection activeCell="G6" sqref="G6:H6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25"/>
      <c r="B1" s="226"/>
      <c r="C1" s="226"/>
      <c r="D1" s="227"/>
      <c r="E1" s="233"/>
      <c r="F1" s="233"/>
      <c r="G1" s="233"/>
      <c r="H1" s="233"/>
      <c r="I1" s="233"/>
      <c r="J1" s="233"/>
      <c r="K1" s="233"/>
      <c r="L1" s="41"/>
      <c r="M1" s="185" t="s">
        <v>8</v>
      </c>
      <c r="N1" s="186"/>
      <c r="O1" s="18" t="s">
        <v>9</v>
      </c>
    </row>
    <row r="2" spans="1:19" ht="12.95" customHeight="1" x14ac:dyDescent="0.2">
      <c r="A2" s="228"/>
      <c r="B2" s="124"/>
      <c r="C2" s="124"/>
      <c r="D2" s="229"/>
      <c r="E2" s="234"/>
      <c r="F2" s="234"/>
      <c r="G2" s="234"/>
      <c r="H2" s="234"/>
      <c r="I2" s="234"/>
      <c r="J2" s="234"/>
      <c r="K2" s="234"/>
      <c r="L2" s="42" t="s">
        <v>10</v>
      </c>
      <c r="M2" s="187"/>
      <c r="N2" s="188"/>
      <c r="O2" s="22"/>
    </row>
    <row r="3" spans="1:19" ht="12.95" customHeight="1" x14ac:dyDescent="0.2">
      <c r="A3" s="228"/>
      <c r="B3" s="124"/>
      <c r="C3" s="124"/>
      <c r="D3" s="229"/>
      <c r="E3" s="234"/>
      <c r="F3" s="234"/>
      <c r="G3" s="234"/>
      <c r="H3" s="234"/>
      <c r="I3" s="234"/>
      <c r="J3" s="234"/>
      <c r="K3" s="234"/>
      <c r="L3" s="43" t="s">
        <v>6</v>
      </c>
      <c r="M3" s="189"/>
      <c r="N3" s="190"/>
      <c r="O3" s="22"/>
    </row>
    <row r="4" spans="1:19" ht="12.95" customHeight="1" thickBot="1" x14ac:dyDescent="0.3">
      <c r="A4" s="230"/>
      <c r="B4" s="231"/>
      <c r="C4" s="231"/>
      <c r="D4" s="232"/>
      <c r="E4" s="235"/>
      <c r="F4" s="235"/>
      <c r="G4" s="235"/>
      <c r="H4" s="235"/>
      <c r="I4" s="235"/>
      <c r="J4" s="235"/>
      <c r="K4" s="235"/>
      <c r="L4" s="44" t="s">
        <v>7</v>
      </c>
      <c r="M4" s="191"/>
      <c r="N4" s="192"/>
      <c r="O4" s="23"/>
      <c r="R4" s="3"/>
      <c r="S4" s="4"/>
    </row>
    <row r="5" spans="1:19" ht="13.5" thickBot="1" x14ac:dyDescent="0.25">
      <c r="A5" s="20" t="s">
        <v>29</v>
      </c>
      <c r="B5" s="21"/>
      <c r="C5" s="162"/>
      <c r="D5" s="162"/>
      <c r="E5" s="162"/>
      <c r="F5" s="162"/>
      <c r="G5" s="162"/>
      <c r="H5" s="162"/>
      <c r="I5" s="193" t="s">
        <v>12</v>
      </c>
      <c r="J5" s="194"/>
      <c r="K5" s="194"/>
      <c r="L5" s="193" t="s">
        <v>13</v>
      </c>
      <c r="M5" s="194"/>
      <c r="N5" s="194"/>
      <c r="O5" s="195"/>
    </row>
    <row r="6" spans="1:19" ht="15" customHeight="1" x14ac:dyDescent="0.25">
      <c r="A6" s="236" t="s">
        <v>0</v>
      </c>
      <c r="B6" s="237"/>
      <c r="C6" s="238"/>
      <c r="D6" s="239"/>
      <c r="E6" s="239"/>
      <c r="F6" s="37" t="s">
        <v>5</v>
      </c>
      <c r="G6" s="240"/>
      <c r="H6" s="240"/>
      <c r="I6" s="196"/>
      <c r="J6" s="197"/>
      <c r="K6" s="197"/>
      <c r="L6" s="196"/>
      <c r="M6" s="197"/>
      <c r="N6" s="197"/>
      <c r="O6" s="198"/>
    </row>
    <row r="7" spans="1:19" ht="15" customHeight="1" x14ac:dyDescent="0.2">
      <c r="A7" s="241" t="s">
        <v>1</v>
      </c>
      <c r="B7" s="242"/>
      <c r="C7" s="243"/>
      <c r="D7" s="244"/>
      <c r="E7" s="244"/>
      <c r="F7" s="38" t="s">
        <v>40</v>
      </c>
      <c r="G7" s="245"/>
      <c r="H7" s="245"/>
      <c r="I7" s="196"/>
      <c r="J7" s="197"/>
      <c r="K7" s="197"/>
      <c r="L7" s="196"/>
      <c r="M7" s="197"/>
      <c r="N7" s="197"/>
      <c r="O7" s="198"/>
    </row>
    <row r="8" spans="1:19" ht="15" customHeight="1" x14ac:dyDescent="0.2">
      <c r="A8" s="241" t="s">
        <v>4</v>
      </c>
      <c r="B8" s="242"/>
      <c r="C8" s="243"/>
      <c r="D8" s="244"/>
      <c r="E8" s="244"/>
      <c r="F8" s="38" t="s">
        <v>41</v>
      </c>
      <c r="G8" s="245"/>
      <c r="H8" s="245"/>
      <c r="I8" s="196"/>
      <c r="J8" s="197"/>
      <c r="K8" s="197"/>
      <c r="L8" s="196"/>
      <c r="M8" s="197"/>
      <c r="N8" s="197"/>
      <c r="O8" s="198"/>
    </row>
    <row r="9" spans="1:19" ht="15" customHeight="1" thickBot="1" x14ac:dyDescent="0.25">
      <c r="A9" s="221" t="s">
        <v>2</v>
      </c>
      <c r="B9" s="222"/>
      <c r="C9" s="223"/>
      <c r="D9" s="224"/>
      <c r="E9" s="224"/>
      <c r="F9" s="39" t="s">
        <v>42</v>
      </c>
      <c r="G9" s="205"/>
      <c r="H9" s="205"/>
      <c r="I9" s="196"/>
      <c r="J9" s="197"/>
      <c r="K9" s="197"/>
      <c r="L9" s="196"/>
      <c r="M9" s="197"/>
      <c r="N9" s="197"/>
      <c r="O9" s="198"/>
    </row>
    <row r="10" spans="1:19" ht="12.75" customHeight="1" x14ac:dyDescent="0.2">
      <c r="A10" s="209" t="s">
        <v>11</v>
      </c>
      <c r="B10" s="210"/>
      <c r="C10" s="215"/>
      <c r="D10" s="216"/>
      <c r="E10" s="216"/>
      <c r="F10" s="216"/>
      <c r="G10" s="216"/>
      <c r="H10" s="216"/>
      <c r="I10" s="196"/>
      <c r="J10" s="197"/>
      <c r="K10" s="197"/>
      <c r="L10" s="196"/>
      <c r="M10" s="197"/>
      <c r="N10" s="197"/>
      <c r="O10" s="198"/>
    </row>
    <row r="11" spans="1:19" ht="21" customHeight="1" x14ac:dyDescent="0.2">
      <c r="A11" s="211"/>
      <c r="B11" s="212"/>
      <c r="C11" s="217"/>
      <c r="D11" s="218"/>
      <c r="E11" s="218"/>
      <c r="F11" s="218"/>
      <c r="G11" s="218"/>
      <c r="H11" s="218"/>
      <c r="I11" s="196"/>
      <c r="J11" s="197"/>
      <c r="K11" s="197"/>
      <c r="L11" s="196"/>
      <c r="M11" s="197"/>
      <c r="N11" s="197"/>
      <c r="O11" s="198"/>
    </row>
    <row r="12" spans="1:19" ht="20.25" customHeight="1" thickBot="1" x14ac:dyDescent="0.25">
      <c r="A12" s="213"/>
      <c r="B12" s="214"/>
      <c r="C12" s="219"/>
      <c r="D12" s="220"/>
      <c r="E12" s="220"/>
      <c r="F12" s="220"/>
      <c r="G12" s="220"/>
      <c r="H12" s="220"/>
      <c r="I12" s="199"/>
      <c r="J12" s="200"/>
      <c r="K12" s="200"/>
      <c r="L12" s="199"/>
      <c r="M12" s="200"/>
      <c r="N12" s="200"/>
      <c r="O12" s="201"/>
    </row>
    <row r="13" spans="1:19" ht="14.25" customHeight="1" thickBot="1" x14ac:dyDescent="0.25">
      <c r="A13" s="15" t="s">
        <v>16</v>
      </c>
      <c r="B13" s="76" t="s">
        <v>17</v>
      </c>
      <c r="C13" s="77" t="s">
        <v>18</v>
      </c>
      <c r="D13" s="77" t="s">
        <v>19</v>
      </c>
      <c r="E13" s="77" t="s">
        <v>20</v>
      </c>
      <c r="F13" s="77" t="s">
        <v>21</v>
      </c>
      <c r="G13" s="77" t="s">
        <v>22</v>
      </c>
      <c r="H13" s="77" t="s">
        <v>23</v>
      </c>
      <c r="I13" s="77" t="s">
        <v>24</v>
      </c>
      <c r="J13" s="77" t="s">
        <v>25</v>
      </c>
      <c r="K13" s="77" t="s">
        <v>26</v>
      </c>
      <c r="L13" s="77" t="s">
        <v>34</v>
      </c>
      <c r="M13" s="206" t="s">
        <v>28</v>
      </c>
      <c r="N13" s="207"/>
      <c r="O13" s="208"/>
    </row>
    <row r="14" spans="1:19" ht="16.350000000000001" customHeight="1" thickBot="1" x14ac:dyDescent="0.25">
      <c r="A14" s="133" t="s">
        <v>15</v>
      </c>
      <c r="B14" s="134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30"/>
      <c r="N14" s="131"/>
      <c r="O14" s="132"/>
    </row>
    <row r="15" spans="1:19" ht="16.350000000000001" customHeight="1" x14ac:dyDescent="0.2">
      <c r="A15" s="202" t="s">
        <v>3</v>
      </c>
      <c r="B15" s="136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7">
        <v>0</v>
      </c>
      <c r="N15" s="138"/>
      <c r="O15" s="143" t="s">
        <v>27</v>
      </c>
    </row>
    <row r="16" spans="1:19" ht="16.350000000000001" customHeight="1" thickBot="1" x14ac:dyDescent="0.25">
      <c r="A16" s="203" t="s">
        <v>14</v>
      </c>
      <c r="B16" s="204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9"/>
      <c r="N16" s="140"/>
      <c r="O16" s="144"/>
    </row>
    <row r="17" spans="1:24" ht="16.350000000000001" customHeight="1" thickBot="1" x14ac:dyDescent="0.25">
      <c r="A17" s="148" t="s">
        <v>38</v>
      </c>
      <c r="B17" s="149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9"/>
      <c r="N17" s="140"/>
      <c r="O17" s="144"/>
    </row>
    <row r="18" spans="1:24" ht="16.350000000000001" customHeight="1" thickBot="1" x14ac:dyDescent="0.25">
      <c r="A18" s="146" t="s">
        <v>43</v>
      </c>
      <c r="B18" s="150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9"/>
      <c r="N18" s="140"/>
      <c r="O18" s="144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41"/>
      <c r="N19" s="142"/>
      <c r="O19" s="145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55" t="s">
        <v>9</v>
      </c>
      <c r="N20" s="157" t="s">
        <v>39</v>
      </c>
      <c r="O20" s="122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56"/>
      <c r="N21" s="158"/>
      <c r="O21" s="123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24" t="s">
        <v>36</v>
      </c>
      <c r="G42" s="124"/>
      <c r="H42" s="124"/>
      <c r="I42" s="124"/>
      <c r="J42" s="124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14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13" priority="2">
      <formula>LEN(TRIM(C22))=0</formula>
    </cfRule>
  </conditionalFormatting>
  <conditionalFormatting sqref="C23:L23 C25:L25 C27:L27 C29:L29 C31:L31 C33:L33 C35:L35 C37:L37 C39:L39 C41:L41">
    <cfRule type="containsBlanks" dxfId="12" priority="1">
      <formula>LEN(TRIM(C23))=0</formula>
    </cfRule>
  </conditionalFormatting>
  <conditionalFormatting sqref="D22:D41">
    <cfRule type="cellIs" dxfId="11" priority="11" operator="notBetween">
      <formula>$D$20</formula>
      <formula>$D$21</formula>
    </cfRule>
  </conditionalFormatting>
  <conditionalFormatting sqref="E22:L41">
    <cfRule type="cellIs" dxfId="10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2BDF42F2-65EF-4432-8E74-9FE929B50EF7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21B25-8CF6-4C7E-B08D-F3600C3A4C2A}">
  <sheetPr codeName="Tabelle5">
    <pageSetUpPr fitToPage="1"/>
  </sheetPr>
  <dimension ref="A1:X51"/>
  <sheetViews>
    <sheetView zoomScaleNormal="100" workbookViewId="0">
      <selection activeCell="D15" sqref="D15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25"/>
      <c r="B1" s="226"/>
      <c r="C1" s="226"/>
      <c r="D1" s="227"/>
      <c r="E1" s="233"/>
      <c r="F1" s="233"/>
      <c r="G1" s="233"/>
      <c r="H1" s="233"/>
      <c r="I1" s="233"/>
      <c r="J1" s="233"/>
      <c r="K1" s="233"/>
      <c r="L1" s="41"/>
      <c r="M1" s="185" t="s">
        <v>8</v>
      </c>
      <c r="N1" s="186"/>
      <c r="O1" s="18" t="s">
        <v>9</v>
      </c>
    </row>
    <row r="2" spans="1:19" ht="12.95" customHeight="1" x14ac:dyDescent="0.2">
      <c r="A2" s="228"/>
      <c r="B2" s="124"/>
      <c r="C2" s="124"/>
      <c r="D2" s="229"/>
      <c r="E2" s="234"/>
      <c r="F2" s="234"/>
      <c r="G2" s="234"/>
      <c r="H2" s="234"/>
      <c r="I2" s="234"/>
      <c r="J2" s="234"/>
      <c r="K2" s="234"/>
      <c r="L2" s="42" t="s">
        <v>10</v>
      </c>
      <c r="M2" s="187"/>
      <c r="N2" s="188"/>
      <c r="O2" s="22"/>
    </row>
    <row r="3" spans="1:19" ht="12.95" customHeight="1" x14ac:dyDescent="0.2">
      <c r="A3" s="228"/>
      <c r="B3" s="124"/>
      <c r="C3" s="124"/>
      <c r="D3" s="229"/>
      <c r="E3" s="234"/>
      <c r="F3" s="234"/>
      <c r="G3" s="234"/>
      <c r="H3" s="234"/>
      <c r="I3" s="234"/>
      <c r="J3" s="234"/>
      <c r="K3" s="234"/>
      <c r="L3" s="43" t="s">
        <v>6</v>
      </c>
      <c r="M3" s="189"/>
      <c r="N3" s="190"/>
      <c r="O3" s="22"/>
    </row>
    <row r="4" spans="1:19" ht="12.95" customHeight="1" thickBot="1" x14ac:dyDescent="0.3">
      <c r="A4" s="230"/>
      <c r="B4" s="231"/>
      <c r="C4" s="231"/>
      <c r="D4" s="232"/>
      <c r="E4" s="235"/>
      <c r="F4" s="235"/>
      <c r="G4" s="235"/>
      <c r="H4" s="235"/>
      <c r="I4" s="235"/>
      <c r="J4" s="235"/>
      <c r="K4" s="235"/>
      <c r="L4" s="44" t="s">
        <v>7</v>
      </c>
      <c r="M4" s="191"/>
      <c r="N4" s="192"/>
      <c r="O4" s="23"/>
      <c r="R4" s="3"/>
      <c r="S4" s="4"/>
    </row>
    <row r="5" spans="1:19" ht="13.5" thickBot="1" x14ac:dyDescent="0.25">
      <c r="A5" s="20" t="s">
        <v>29</v>
      </c>
      <c r="B5" s="21"/>
      <c r="C5" s="162"/>
      <c r="D5" s="162"/>
      <c r="E5" s="162"/>
      <c r="F5" s="162"/>
      <c r="G5" s="162"/>
      <c r="H5" s="162"/>
      <c r="I5" s="193" t="s">
        <v>12</v>
      </c>
      <c r="J5" s="194"/>
      <c r="K5" s="194"/>
      <c r="L5" s="193" t="s">
        <v>13</v>
      </c>
      <c r="M5" s="194"/>
      <c r="N5" s="194"/>
      <c r="O5" s="195"/>
    </row>
    <row r="6" spans="1:19" ht="15" customHeight="1" x14ac:dyDescent="0.25">
      <c r="A6" s="236" t="s">
        <v>0</v>
      </c>
      <c r="B6" s="237"/>
      <c r="C6" s="238"/>
      <c r="D6" s="239"/>
      <c r="E6" s="239"/>
      <c r="F6" s="37" t="s">
        <v>5</v>
      </c>
      <c r="G6" s="240"/>
      <c r="H6" s="240"/>
      <c r="I6" s="196"/>
      <c r="J6" s="197"/>
      <c r="K6" s="197"/>
      <c r="L6" s="196"/>
      <c r="M6" s="197"/>
      <c r="N6" s="197"/>
      <c r="O6" s="198"/>
    </row>
    <row r="7" spans="1:19" ht="15" customHeight="1" x14ac:dyDescent="0.2">
      <c r="A7" s="241" t="s">
        <v>1</v>
      </c>
      <c r="B7" s="242"/>
      <c r="C7" s="243"/>
      <c r="D7" s="244"/>
      <c r="E7" s="244"/>
      <c r="F7" s="38" t="s">
        <v>40</v>
      </c>
      <c r="G7" s="245"/>
      <c r="H7" s="245"/>
      <c r="I7" s="196"/>
      <c r="J7" s="197"/>
      <c r="K7" s="197"/>
      <c r="L7" s="196"/>
      <c r="M7" s="197"/>
      <c r="N7" s="197"/>
      <c r="O7" s="198"/>
    </row>
    <row r="8" spans="1:19" ht="15" customHeight="1" x14ac:dyDescent="0.2">
      <c r="A8" s="241" t="s">
        <v>4</v>
      </c>
      <c r="B8" s="242"/>
      <c r="C8" s="243"/>
      <c r="D8" s="244"/>
      <c r="E8" s="244"/>
      <c r="F8" s="38" t="s">
        <v>41</v>
      </c>
      <c r="G8" s="245"/>
      <c r="H8" s="245"/>
      <c r="I8" s="196"/>
      <c r="J8" s="197"/>
      <c r="K8" s="197"/>
      <c r="L8" s="196"/>
      <c r="M8" s="197"/>
      <c r="N8" s="197"/>
      <c r="O8" s="198"/>
    </row>
    <row r="9" spans="1:19" ht="15" customHeight="1" thickBot="1" x14ac:dyDescent="0.25">
      <c r="A9" s="221" t="s">
        <v>2</v>
      </c>
      <c r="B9" s="222"/>
      <c r="C9" s="223"/>
      <c r="D9" s="224"/>
      <c r="E9" s="224"/>
      <c r="F9" s="39" t="s">
        <v>42</v>
      </c>
      <c r="G9" s="205"/>
      <c r="H9" s="205"/>
      <c r="I9" s="196"/>
      <c r="J9" s="197"/>
      <c r="K9" s="197"/>
      <c r="L9" s="196"/>
      <c r="M9" s="197"/>
      <c r="N9" s="197"/>
      <c r="O9" s="198"/>
    </row>
    <row r="10" spans="1:19" ht="12.75" customHeight="1" x14ac:dyDescent="0.2">
      <c r="A10" s="209" t="s">
        <v>11</v>
      </c>
      <c r="B10" s="210"/>
      <c r="C10" s="215"/>
      <c r="D10" s="216"/>
      <c r="E10" s="216"/>
      <c r="F10" s="216"/>
      <c r="G10" s="216"/>
      <c r="H10" s="216"/>
      <c r="I10" s="196"/>
      <c r="J10" s="197"/>
      <c r="K10" s="197"/>
      <c r="L10" s="196"/>
      <c r="M10" s="197"/>
      <c r="N10" s="197"/>
      <c r="O10" s="198"/>
    </row>
    <row r="11" spans="1:19" ht="21" customHeight="1" x14ac:dyDescent="0.2">
      <c r="A11" s="211"/>
      <c r="B11" s="212"/>
      <c r="C11" s="217"/>
      <c r="D11" s="218"/>
      <c r="E11" s="218"/>
      <c r="F11" s="218"/>
      <c r="G11" s="218"/>
      <c r="H11" s="218"/>
      <c r="I11" s="196"/>
      <c r="J11" s="197"/>
      <c r="K11" s="197"/>
      <c r="L11" s="196"/>
      <c r="M11" s="197"/>
      <c r="N11" s="197"/>
      <c r="O11" s="198"/>
    </row>
    <row r="12" spans="1:19" ht="20.25" customHeight="1" thickBot="1" x14ac:dyDescent="0.25">
      <c r="A12" s="213"/>
      <c r="B12" s="214"/>
      <c r="C12" s="219"/>
      <c r="D12" s="220"/>
      <c r="E12" s="220"/>
      <c r="F12" s="220"/>
      <c r="G12" s="220"/>
      <c r="H12" s="220"/>
      <c r="I12" s="199"/>
      <c r="J12" s="200"/>
      <c r="K12" s="200"/>
      <c r="L12" s="199"/>
      <c r="M12" s="200"/>
      <c r="N12" s="200"/>
      <c r="O12" s="201"/>
    </row>
    <row r="13" spans="1:19" ht="14.25" customHeight="1" thickBot="1" x14ac:dyDescent="0.25">
      <c r="A13" s="15" t="s">
        <v>16</v>
      </c>
      <c r="B13" s="78" t="s">
        <v>17</v>
      </c>
      <c r="C13" s="79" t="s">
        <v>18</v>
      </c>
      <c r="D13" s="79" t="s">
        <v>19</v>
      </c>
      <c r="E13" s="79" t="s">
        <v>20</v>
      </c>
      <c r="F13" s="79" t="s">
        <v>21</v>
      </c>
      <c r="G13" s="79" t="s">
        <v>22</v>
      </c>
      <c r="H13" s="79" t="s">
        <v>23</v>
      </c>
      <c r="I13" s="79" t="s">
        <v>24</v>
      </c>
      <c r="J13" s="79" t="s">
        <v>25</v>
      </c>
      <c r="K13" s="79" t="s">
        <v>26</v>
      </c>
      <c r="L13" s="79" t="s">
        <v>34</v>
      </c>
      <c r="M13" s="206" t="s">
        <v>28</v>
      </c>
      <c r="N13" s="207"/>
      <c r="O13" s="208"/>
    </row>
    <row r="14" spans="1:19" ht="16.350000000000001" customHeight="1" thickBot="1" x14ac:dyDescent="0.25">
      <c r="A14" s="133" t="s">
        <v>15</v>
      </c>
      <c r="B14" s="134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30"/>
      <c r="N14" s="131"/>
      <c r="O14" s="132"/>
    </row>
    <row r="15" spans="1:19" ht="16.350000000000001" customHeight="1" x14ac:dyDescent="0.2">
      <c r="A15" s="202" t="s">
        <v>3</v>
      </c>
      <c r="B15" s="136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7">
        <v>0</v>
      </c>
      <c r="N15" s="138"/>
      <c r="O15" s="143" t="s">
        <v>27</v>
      </c>
    </row>
    <row r="16" spans="1:19" ht="16.350000000000001" customHeight="1" thickBot="1" x14ac:dyDescent="0.25">
      <c r="A16" s="203" t="s">
        <v>14</v>
      </c>
      <c r="B16" s="204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9"/>
      <c r="N16" s="140"/>
      <c r="O16" s="144"/>
    </row>
    <row r="17" spans="1:24" ht="16.350000000000001" customHeight="1" thickBot="1" x14ac:dyDescent="0.25">
      <c r="A17" s="148" t="s">
        <v>38</v>
      </c>
      <c r="B17" s="149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9"/>
      <c r="N17" s="140"/>
      <c r="O17" s="144"/>
    </row>
    <row r="18" spans="1:24" ht="16.350000000000001" customHeight="1" thickBot="1" x14ac:dyDescent="0.25">
      <c r="A18" s="146" t="s">
        <v>43</v>
      </c>
      <c r="B18" s="150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9"/>
      <c r="N18" s="140"/>
      <c r="O18" s="144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41"/>
      <c r="N19" s="142"/>
      <c r="O19" s="145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55" t="s">
        <v>9</v>
      </c>
      <c r="N20" s="157" t="s">
        <v>39</v>
      </c>
      <c r="O20" s="122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56"/>
      <c r="N21" s="158"/>
      <c r="O21" s="123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24" t="s">
        <v>36</v>
      </c>
      <c r="G42" s="124"/>
      <c r="H42" s="124"/>
      <c r="I42" s="124"/>
      <c r="J42" s="124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9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8" priority="2">
      <formula>LEN(TRIM(C22))=0</formula>
    </cfRule>
  </conditionalFormatting>
  <conditionalFormatting sqref="C23:L23 C25:L25 C27:L27 C29:L29 C31:L31 C33:L33 C35:L35 C37:L37 C39:L39 C41:L41">
    <cfRule type="containsBlanks" dxfId="7" priority="1">
      <formula>LEN(TRIM(C23))=0</formula>
    </cfRule>
  </conditionalFormatting>
  <conditionalFormatting sqref="D22:D41">
    <cfRule type="cellIs" dxfId="6" priority="11" operator="notBetween">
      <formula>$D$20</formula>
      <formula>$D$21</formula>
    </cfRule>
  </conditionalFormatting>
  <conditionalFormatting sqref="E22:L41">
    <cfRule type="cellIs" dxfId="5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0DDD8530-00D8-4077-A8BD-EE6FD2A1B00C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7AAFF-18D2-4D68-8E0E-2BC830E4AB8E}">
  <sheetPr codeName="Tabelle6">
    <pageSetUpPr fitToPage="1"/>
  </sheetPr>
  <dimension ref="A1:X51"/>
  <sheetViews>
    <sheetView zoomScaleNormal="100" workbookViewId="0">
      <selection activeCell="D27" sqref="D27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25"/>
      <c r="B1" s="226"/>
      <c r="C1" s="226"/>
      <c r="D1" s="227"/>
      <c r="E1" s="233"/>
      <c r="F1" s="233"/>
      <c r="G1" s="233"/>
      <c r="H1" s="233"/>
      <c r="I1" s="233"/>
      <c r="J1" s="233"/>
      <c r="K1" s="233"/>
      <c r="L1" s="41"/>
      <c r="M1" s="185" t="s">
        <v>8</v>
      </c>
      <c r="N1" s="186"/>
      <c r="O1" s="18" t="s">
        <v>9</v>
      </c>
    </row>
    <row r="2" spans="1:19" ht="12.95" customHeight="1" x14ac:dyDescent="0.2">
      <c r="A2" s="228"/>
      <c r="B2" s="124"/>
      <c r="C2" s="124"/>
      <c r="D2" s="229"/>
      <c r="E2" s="234"/>
      <c r="F2" s="234"/>
      <c r="G2" s="234"/>
      <c r="H2" s="234"/>
      <c r="I2" s="234"/>
      <c r="J2" s="234"/>
      <c r="K2" s="234"/>
      <c r="L2" s="42" t="s">
        <v>10</v>
      </c>
      <c r="M2" s="187"/>
      <c r="N2" s="188"/>
      <c r="O2" s="22"/>
    </row>
    <row r="3" spans="1:19" ht="12.95" customHeight="1" x14ac:dyDescent="0.2">
      <c r="A3" s="228"/>
      <c r="B3" s="124"/>
      <c r="C3" s="124"/>
      <c r="D3" s="229"/>
      <c r="E3" s="234"/>
      <c r="F3" s="234"/>
      <c r="G3" s="234"/>
      <c r="H3" s="234"/>
      <c r="I3" s="234"/>
      <c r="J3" s="234"/>
      <c r="K3" s="234"/>
      <c r="L3" s="43" t="s">
        <v>6</v>
      </c>
      <c r="M3" s="189"/>
      <c r="N3" s="190"/>
      <c r="O3" s="22"/>
    </row>
    <row r="4" spans="1:19" ht="12.95" customHeight="1" thickBot="1" x14ac:dyDescent="0.3">
      <c r="A4" s="230"/>
      <c r="B4" s="231"/>
      <c r="C4" s="231"/>
      <c r="D4" s="232"/>
      <c r="E4" s="235"/>
      <c r="F4" s="235"/>
      <c r="G4" s="235"/>
      <c r="H4" s="235"/>
      <c r="I4" s="235"/>
      <c r="J4" s="235"/>
      <c r="K4" s="235"/>
      <c r="L4" s="44" t="s">
        <v>7</v>
      </c>
      <c r="M4" s="191"/>
      <c r="N4" s="192"/>
      <c r="O4" s="23"/>
      <c r="R4" s="3"/>
      <c r="S4" s="4"/>
    </row>
    <row r="5" spans="1:19" ht="13.5" thickBot="1" x14ac:dyDescent="0.25">
      <c r="A5" s="20" t="s">
        <v>29</v>
      </c>
      <c r="B5" s="21"/>
      <c r="C5" s="162"/>
      <c r="D5" s="162"/>
      <c r="E5" s="162"/>
      <c r="F5" s="162"/>
      <c r="G5" s="162"/>
      <c r="H5" s="162"/>
      <c r="I5" s="193" t="s">
        <v>12</v>
      </c>
      <c r="J5" s="194"/>
      <c r="K5" s="194"/>
      <c r="L5" s="193" t="s">
        <v>13</v>
      </c>
      <c r="M5" s="194"/>
      <c r="N5" s="194"/>
      <c r="O5" s="195"/>
    </row>
    <row r="6" spans="1:19" ht="15" customHeight="1" x14ac:dyDescent="0.25">
      <c r="A6" s="236" t="s">
        <v>0</v>
      </c>
      <c r="B6" s="237"/>
      <c r="C6" s="238"/>
      <c r="D6" s="239"/>
      <c r="E6" s="239"/>
      <c r="F6" s="37" t="s">
        <v>5</v>
      </c>
      <c r="G6" s="240"/>
      <c r="H6" s="240"/>
      <c r="I6" s="196"/>
      <c r="J6" s="197"/>
      <c r="K6" s="197"/>
      <c r="L6" s="196"/>
      <c r="M6" s="197"/>
      <c r="N6" s="197"/>
      <c r="O6" s="198"/>
    </row>
    <row r="7" spans="1:19" ht="15" customHeight="1" x14ac:dyDescent="0.2">
      <c r="A7" s="241" t="s">
        <v>1</v>
      </c>
      <c r="B7" s="242"/>
      <c r="C7" s="243"/>
      <c r="D7" s="244"/>
      <c r="E7" s="244"/>
      <c r="F7" s="38" t="s">
        <v>40</v>
      </c>
      <c r="G7" s="245"/>
      <c r="H7" s="245"/>
      <c r="I7" s="196"/>
      <c r="J7" s="197"/>
      <c r="K7" s="197"/>
      <c r="L7" s="196"/>
      <c r="M7" s="197"/>
      <c r="N7" s="197"/>
      <c r="O7" s="198"/>
    </row>
    <row r="8" spans="1:19" ht="15" customHeight="1" x14ac:dyDescent="0.2">
      <c r="A8" s="241" t="s">
        <v>4</v>
      </c>
      <c r="B8" s="242"/>
      <c r="C8" s="243"/>
      <c r="D8" s="244"/>
      <c r="E8" s="244"/>
      <c r="F8" s="38" t="s">
        <v>41</v>
      </c>
      <c r="G8" s="245"/>
      <c r="H8" s="245"/>
      <c r="I8" s="196"/>
      <c r="J8" s="197"/>
      <c r="K8" s="197"/>
      <c r="L8" s="196"/>
      <c r="M8" s="197"/>
      <c r="N8" s="197"/>
      <c r="O8" s="198"/>
    </row>
    <row r="9" spans="1:19" ht="15" customHeight="1" thickBot="1" x14ac:dyDescent="0.25">
      <c r="A9" s="221" t="s">
        <v>2</v>
      </c>
      <c r="B9" s="222"/>
      <c r="C9" s="223"/>
      <c r="D9" s="224"/>
      <c r="E9" s="224"/>
      <c r="F9" s="39" t="s">
        <v>42</v>
      </c>
      <c r="G9" s="205"/>
      <c r="H9" s="205"/>
      <c r="I9" s="196"/>
      <c r="J9" s="197"/>
      <c r="K9" s="197"/>
      <c r="L9" s="196"/>
      <c r="M9" s="197"/>
      <c r="N9" s="197"/>
      <c r="O9" s="198"/>
    </row>
    <row r="10" spans="1:19" ht="12.75" customHeight="1" x14ac:dyDescent="0.2">
      <c r="A10" s="209" t="s">
        <v>11</v>
      </c>
      <c r="B10" s="210"/>
      <c r="C10" s="215"/>
      <c r="D10" s="216"/>
      <c r="E10" s="216"/>
      <c r="F10" s="216"/>
      <c r="G10" s="216"/>
      <c r="H10" s="216"/>
      <c r="I10" s="196"/>
      <c r="J10" s="197"/>
      <c r="K10" s="197"/>
      <c r="L10" s="196"/>
      <c r="M10" s="197"/>
      <c r="N10" s="197"/>
      <c r="O10" s="198"/>
    </row>
    <row r="11" spans="1:19" ht="21" customHeight="1" x14ac:dyDescent="0.2">
      <c r="A11" s="211"/>
      <c r="B11" s="212"/>
      <c r="C11" s="217"/>
      <c r="D11" s="218"/>
      <c r="E11" s="218"/>
      <c r="F11" s="218"/>
      <c r="G11" s="218"/>
      <c r="H11" s="218"/>
      <c r="I11" s="196"/>
      <c r="J11" s="197"/>
      <c r="K11" s="197"/>
      <c r="L11" s="196"/>
      <c r="M11" s="197"/>
      <c r="N11" s="197"/>
      <c r="O11" s="198"/>
    </row>
    <row r="12" spans="1:19" ht="20.25" customHeight="1" thickBot="1" x14ac:dyDescent="0.25">
      <c r="A12" s="213"/>
      <c r="B12" s="214"/>
      <c r="C12" s="219"/>
      <c r="D12" s="220"/>
      <c r="E12" s="220"/>
      <c r="F12" s="220"/>
      <c r="G12" s="220"/>
      <c r="H12" s="220"/>
      <c r="I12" s="199"/>
      <c r="J12" s="200"/>
      <c r="K12" s="200"/>
      <c r="L12" s="199"/>
      <c r="M12" s="200"/>
      <c r="N12" s="200"/>
      <c r="O12" s="201"/>
    </row>
    <row r="13" spans="1:19" ht="14.25" customHeight="1" thickBot="1" x14ac:dyDescent="0.25">
      <c r="A13" s="15" t="s">
        <v>16</v>
      </c>
      <c r="B13" s="80" t="s">
        <v>17</v>
      </c>
      <c r="C13" s="81" t="s">
        <v>18</v>
      </c>
      <c r="D13" s="81" t="s">
        <v>19</v>
      </c>
      <c r="E13" s="81" t="s">
        <v>20</v>
      </c>
      <c r="F13" s="81" t="s">
        <v>21</v>
      </c>
      <c r="G13" s="81" t="s">
        <v>22</v>
      </c>
      <c r="H13" s="81" t="s">
        <v>23</v>
      </c>
      <c r="I13" s="81" t="s">
        <v>24</v>
      </c>
      <c r="J13" s="81" t="s">
        <v>25</v>
      </c>
      <c r="K13" s="81" t="s">
        <v>26</v>
      </c>
      <c r="L13" s="81" t="s">
        <v>34</v>
      </c>
      <c r="M13" s="206" t="s">
        <v>28</v>
      </c>
      <c r="N13" s="207"/>
      <c r="O13" s="208"/>
    </row>
    <row r="14" spans="1:19" ht="16.350000000000001" customHeight="1" thickBot="1" x14ac:dyDescent="0.25">
      <c r="A14" s="133" t="s">
        <v>15</v>
      </c>
      <c r="B14" s="134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30"/>
      <c r="N14" s="131"/>
      <c r="O14" s="132"/>
    </row>
    <row r="15" spans="1:19" ht="16.350000000000001" customHeight="1" x14ac:dyDescent="0.2">
      <c r="A15" s="202" t="s">
        <v>3</v>
      </c>
      <c r="B15" s="136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7">
        <v>0</v>
      </c>
      <c r="N15" s="138"/>
      <c r="O15" s="143" t="s">
        <v>27</v>
      </c>
    </row>
    <row r="16" spans="1:19" ht="16.350000000000001" customHeight="1" thickBot="1" x14ac:dyDescent="0.25">
      <c r="A16" s="203" t="s">
        <v>14</v>
      </c>
      <c r="B16" s="204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9"/>
      <c r="N16" s="140"/>
      <c r="O16" s="144"/>
    </row>
    <row r="17" spans="1:24" ht="16.350000000000001" customHeight="1" thickBot="1" x14ac:dyDescent="0.25">
      <c r="A17" s="148" t="s">
        <v>38</v>
      </c>
      <c r="B17" s="149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9"/>
      <c r="N17" s="140"/>
      <c r="O17" s="144"/>
    </row>
    <row r="18" spans="1:24" ht="16.350000000000001" customHeight="1" thickBot="1" x14ac:dyDescent="0.25">
      <c r="A18" s="146" t="s">
        <v>43</v>
      </c>
      <c r="B18" s="150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9"/>
      <c r="N18" s="140"/>
      <c r="O18" s="144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41"/>
      <c r="N19" s="142"/>
      <c r="O19" s="145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55" t="s">
        <v>9</v>
      </c>
      <c r="N20" s="157" t="s">
        <v>39</v>
      </c>
      <c r="O20" s="122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56"/>
      <c r="N21" s="158"/>
      <c r="O21" s="123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24" t="s">
        <v>36</v>
      </c>
      <c r="G42" s="124"/>
      <c r="H42" s="124"/>
      <c r="I42" s="124"/>
      <c r="J42" s="124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4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3" priority="1">
      <formula>LEN(TRIM(C22))=0</formula>
    </cfRule>
  </conditionalFormatting>
  <conditionalFormatting sqref="C23:L23 C25:L25 C27:L27 C29:L29 C31:L31 C33:L33 C35:L35 C37:L37 C39:L39 C41:L41">
    <cfRule type="containsBlanks" dxfId="2" priority="2">
      <formula>LEN(TRIM(C23))=0</formula>
    </cfRule>
  </conditionalFormatting>
  <conditionalFormatting sqref="D22:D41">
    <cfRule type="cellIs" dxfId="1" priority="11" operator="notBetween">
      <formula>$D$20</formula>
      <formula>$D$21</formula>
    </cfRule>
  </conditionalFormatting>
  <conditionalFormatting sqref="E22:L41">
    <cfRule type="cellIs" dxfId="0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BBEA9A94-77B3-4536-81F8-90800F063A8D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</vt:i4>
      </vt:variant>
    </vt:vector>
  </HeadingPairs>
  <TitlesOfParts>
    <vt:vector size="13" baseType="lpstr">
      <vt:lpstr>Stammdaten</vt:lpstr>
      <vt:lpstr>Digital</vt:lpstr>
      <vt:lpstr>AG 20 </vt:lpstr>
      <vt:lpstr>AG 30</vt:lpstr>
      <vt:lpstr>AG 40</vt:lpstr>
      <vt:lpstr>AG 50</vt:lpstr>
      <vt:lpstr>AG 60</vt:lpstr>
      <vt:lpstr>'AG 20 '!Druckbereich</vt:lpstr>
      <vt:lpstr>'AG 30'!Druckbereich</vt:lpstr>
      <vt:lpstr>'AG 40'!Druckbereich</vt:lpstr>
      <vt:lpstr>'AG 50'!Druckbereich</vt:lpstr>
      <vt:lpstr>'AG 60'!Druckbereich</vt:lpstr>
      <vt:lpstr>Digital!Druckbereich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2024-10-22T08:36:55Z</dcterms:modified>
</cp:coreProperties>
</file>