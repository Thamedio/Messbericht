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cncmothes-my.sharepoint.com/personal/max_mothes_mothes-cnc_de/Documents/WIP/Messbericht/"/>
    </mc:Choice>
  </mc:AlternateContent>
  <xr:revisionPtr revIDLastSave="508" documentId="8_{29819F75-B7CC-4DB8-B918-09840C4B8ADC}" xr6:coauthVersionLast="47" xr6:coauthVersionMax="47" xr10:uidLastSave="{E1059BC7-D73E-4F21-AEF1-BADBACF60CEC}"/>
  <bookViews>
    <workbookView xWindow="-120" yWindow="-120" windowWidth="29040" windowHeight="15990" xr2:uid="{00000000-000D-0000-FFFF-FFFF00000000}"/>
  </bookViews>
  <sheets>
    <sheet name="Stammdaten" sheetId="28" r:id="rId1"/>
    <sheet name="AG 20" sheetId="27" r:id="rId2"/>
  </sheets>
  <functionGroups builtInGroupCount="19"/>
  <definedNames>
    <definedName name="_xleta.IMAGE" hidden="1" xlm="1">#NAME?</definedName>
    <definedName name="_xlnm.Print_Area" localSheetId="1">'AG 20'!$A$1:$T$42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27" l="1"/>
  <c r="I3" i="27"/>
  <c r="I2" i="27"/>
  <c r="F7" i="27"/>
  <c r="F5" i="27"/>
  <c r="F4" i="27"/>
  <c r="F3" i="27"/>
  <c r="F2" i="27"/>
  <c r="L1" i="27" s="1"/>
  <c r="Q18" i="27"/>
  <c r="P18" i="27"/>
  <c r="J18" i="27"/>
  <c r="I18" i="27"/>
  <c r="H18" i="27"/>
  <c r="G18" i="27"/>
  <c r="F18" i="27"/>
  <c r="E18" i="27"/>
  <c r="D18" i="27"/>
  <c r="C18" i="27"/>
  <c r="H7" i="2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C4E03D-33FB-4F37-8EFF-D3ADDA8ADBEF}" keepAlive="1" name="Abfrage - Fauser-Abfrage" description="Verbindung mit der Abfrage 'Fauser-Abfrage' in der Arbeitsmappe." type="5" refreshedVersion="0" background="1" saveData="1">
    <dbPr connection="Provider=Microsoft.Mashup.OleDb.1;Data Source=$Workbook$;Location=Fauser-Abfrage;Extended Properties=&quot;&quot;" command="SELECT OR_ORDER.NAME AS Auftragsnummer, OR_ORDER.PRONO AS Projekt, OR_ORDER.DESCR AS Bezeichnung, OR_ORDER.ARTNO AS Artikelnummer, OR_ORDER.DRAWNO AS Zeichnungsnummer, OR_ORDER.[DRAWIND] AS [Index], OR_ORDER.INFO1 AS Werkstoff, OR_ORDER.TYPE AS Fertigungstyp, OR_ORDER.DELIVERY AS Liefertermin, OR_ORDER.IDENT AS Teilenummer, OR_ORDER.PPARTS AS Sollstückzahl, CU_COMP.NAME AS Kunde FROM OR_ORDER LEFT JOIN CU_COMP ON OR_ORDER.KCONO = CU_COMP.CONO WHERE OR_ORDER.NAME = 'LG-43238-01-001';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<sst xmlns="http://schemas.openxmlformats.org/spreadsheetml/2006/main" count="81" uniqueCount="71">
  <si>
    <t>Kunde:</t>
  </si>
  <si>
    <t>Freigabe:</t>
  </si>
  <si>
    <t>Name</t>
  </si>
  <si>
    <t>Datum</t>
  </si>
  <si>
    <t>Toleranz</t>
  </si>
  <si>
    <t>Teile</t>
  </si>
  <si>
    <t>Prüfzyklus:</t>
  </si>
  <si>
    <t>Auftragsdaten</t>
  </si>
  <si>
    <t>Wert min.</t>
  </si>
  <si>
    <t>Wert max.</t>
  </si>
  <si>
    <t>Prüfer</t>
  </si>
  <si>
    <t>* möglicher AG-Farbcode=gelb,grün,blau,orange,lila *</t>
  </si>
  <si>
    <t xml:space="preserve">                  Toleranzmitte</t>
  </si>
  <si>
    <t>Prüf-/ Messmittel</t>
  </si>
  <si>
    <t>Uhrzeit</t>
  </si>
  <si>
    <t>Maschine:</t>
  </si>
  <si>
    <t>Prüfzyklus</t>
  </si>
  <si>
    <t>Prüfmaß-Nummer:</t>
  </si>
  <si>
    <t>20-2</t>
  </si>
  <si>
    <t>20-1</t>
  </si>
  <si>
    <t>20-3</t>
  </si>
  <si>
    <t>20-4</t>
  </si>
  <si>
    <t>20-5</t>
  </si>
  <si>
    <t>20-6</t>
  </si>
  <si>
    <t>20-7</t>
  </si>
  <si>
    <t>20-8</t>
  </si>
  <si>
    <t>20-9</t>
  </si>
  <si>
    <t>20-10</t>
  </si>
  <si>
    <t>20-11</t>
  </si>
  <si>
    <t>20-12</t>
  </si>
  <si>
    <t>20-13</t>
  </si>
  <si>
    <t>20-14</t>
  </si>
  <si>
    <t>20-15</t>
  </si>
  <si>
    <t>Artikelnummer:</t>
  </si>
  <si>
    <t>Bezeichnung:</t>
  </si>
  <si>
    <t>Zeichnungs-Nr.:</t>
  </si>
  <si>
    <t>Artikeldaten</t>
  </si>
  <si>
    <t>Werkstoff:</t>
  </si>
  <si>
    <t>Material-Nr.:</t>
  </si>
  <si>
    <t>Vorgangs-Nr.:</t>
  </si>
  <si>
    <t>Auftrags-Nr.:</t>
  </si>
  <si>
    <t>Erstellung:</t>
  </si>
  <si>
    <t>Messbericht</t>
  </si>
  <si>
    <t>Laufende</t>
  </si>
  <si>
    <t>Nummer</t>
  </si>
  <si>
    <t>Nennmaß</t>
  </si>
  <si>
    <t>Kontrollzyklus</t>
  </si>
  <si>
    <t>Index</t>
  </si>
  <si>
    <t>Arbeitsgang:</t>
  </si>
  <si>
    <t>20</t>
  </si>
  <si>
    <t>Klauke</t>
  </si>
  <si>
    <t>Arbeitsgang-Zeichnung</t>
  </si>
  <si>
    <t xml:space="preserve">Auftragsnummer abscannen: </t>
  </si>
  <si>
    <t>Auftragsnummer:</t>
  </si>
  <si>
    <t>Projekt:</t>
  </si>
  <si>
    <t>Zeichnungsnummer:</t>
  </si>
  <si>
    <t>Index:</t>
  </si>
  <si>
    <t>Fertigungstyp:</t>
  </si>
  <si>
    <t>Liefertermin:</t>
  </si>
  <si>
    <t>Teilenummer:</t>
  </si>
  <si>
    <t>Sollstückzahl:</t>
  </si>
  <si>
    <t>Stammdaten aus Fauser extrahieren</t>
  </si>
  <si>
    <t>Gustav Klauke GmbH</t>
  </si>
  <si>
    <t>LG-43654-01-001</t>
  </si>
  <si>
    <t>Halter Mapax Maincor_x000D_
Herstellerkennung: eine Rille, x = ø 35 mm</t>
  </si>
  <si>
    <t>HE18814-WS2636128147-LOT-2</t>
  </si>
  <si>
    <t>KLA-HE18814</t>
  </si>
  <si>
    <t>EN AW-2024</t>
  </si>
  <si>
    <t>Info2:</t>
  </si>
  <si>
    <t>C</t>
  </si>
  <si>
    <t>HE.18814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</si>
</sst>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2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</font>
    <font>
      <u/>
      <sz val="10"/>
      <color theme="10"/>
      <name val="Arial"/>
    </font>
    <font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6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1" fillId="0" borderId="0" xfId="0" applyFont="1"/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center" vertical="top"/>
    </xf>
    <xf numFmtId="0" fontId="3" fillId="5" borderId="11" xfId="0" applyFont="1" applyFill="1" applyBorder="1" applyAlignment="1">
      <alignment horizontal="center"/>
    </xf>
    <xf numFmtId="0" fontId="3" fillId="5" borderId="18" xfId="0" applyFont="1" applyFill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3" borderId="0" xfId="0" applyFill="1"/>
    <xf numFmtId="0" fontId="4" fillId="5" borderId="21" xfId="0" applyFont="1" applyFill="1" applyBorder="1"/>
    <xf numFmtId="49" fontId="0" fillId="3" borderId="25" xfId="0" applyNumberFormat="1" applyFill="1" applyBorder="1"/>
    <xf numFmtId="49" fontId="0" fillId="2" borderId="23" xfId="0" applyNumberFormat="1" applyFill="1" applyBorder="1"/>
    <xf numFmtId="49" fontId="0" fillId="3" borderId="23" xfId="0" applyNumberFormat="1" applyFill="1" applyBorder="1"/>
    <xf numFmtId="49" fontId="0" fillId="2" borderId="24" xfId="0" applyNumberFormat="1" applyFill="1" applyBorder="1"/>
    <xf numFmtId="49" fontId="0" fillId="3" borderId="41" xfId="0" applyNumberFormat="1" applyFill="1" applyBorder="1"/>
    <xf numFmtId="49" fontId="0" fillId="2" borderId="42" xfId="0" applyNumberFormat="1" applyFill="1" applyBorder="1"/>
    <xf numFmtId="49" fontId="0" fillId="3" borderId="42" xfId="0" applyNumberFormat="1" applyFill="1" applyBorder="1"/>
    <xf numFmtId="49" fontId="0" fillId="2" borderId="40" xfId="0" applyNumberFormat="1" applyFill="1" applyBorder="1"/>
    <xf numFmtId="49" fontId="0" fillId="3" borderId="22" xfId="0" applyNumberFormat="1" applyFill="1" applyBorder="1"/>
    <xf numFmtId="49" fontId="0" fillId="2" borderId="4" xfId="0" applyNumberFormat="1" applyFill="1" applyBorder="1"/>
    <xf numFmtId="49" fontId="0" fillId="3" borderId="4" xfId="0" applyNumberFormat="1" applyFill="1" applyBorder="1"/>
    <xf numFmtId="49" fontId="0" fillId="2" borderId="6" xfId="0" applyNumberFormat="1" applyFill="1" applyBorder="1"/>
    <xf numFmtId="0" fontId="0" fillId="0" borderId="37" xfId="0" applyBorder="1" applyAlignment="1">
      <alignment horizontal="right"/>
    </xf>
    <xf numFmtId="0" fontId="0" fillId="0" borderId="42" xfId="0" applyBorder="1" applyAlignment="1">
      <alignment horizontal="right"/>
    </xf>
    <xf numFmtId="0" fontId="0" fillId="0" borderId="40" xfId="0" applyBorder="1" applyAlignment="1">
      <alignment horizontal="right"/>
    </xf>
    <xf numFmtId="0" fontId="1" fillId="3" borderId="17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49" fontId="2" fillId="7" borderId="47" xfId="0" applyNumberFormat="1" applyFont="1" applyFill="1" applyBorder="1" applyAlignment="1">
      <alignment horizontal="center" vertical="center"/>
    </xf>
    <xf numFmtId="49" fontId="1" fillId="2" borderId="13" xfId="0" applyNumberFormat="1" applyFont="1" applyFill="1" applyBorder="1" applyAlignment="1">
      <alignment horizontal="center" vertical="center"/>
    </xf>
    <xf numFmtId="49" fontId="0" fillId="2" borderId="13" xfId="0" applyNumberFormat="1" applyFill="1" applyBorder="1" applyAlignment="1">
      <alignment horizontal="center" vertical="center"/>
    </xf>
    <xf numFmtId="49" fontId="2" fillId="2" borderId="13" xfId="0" applyNumberFormat="1" applyFont="1" applyFill="1" applyBorder="1" applyAlignment="1">
      <alignment horizontal="center" vertical="center"/>
    </xf>
    <xf numFmtId="49" fontId="1" fillId="7" borderId="48" xfId="0" applyNumberFormat="1" applyFont="1" applyFill="1" applyBorder="1" applyAlignment="1">
      <alignment horizontal="center" vertical="center"/>
    </xf>
    <xf numFmtId="49" fontId="0" fillId="7" borderId="48" xfId="0" applyNumberFormat="1" applyFill="1" applyBorder="1" applyAlignment="1">
      <alignment horizontal="center" vertical="center"/>
    </xf>
    <xf numFmtId="49" fontId="2" fillId="7" borderId="48" xfId="0" applyNumberFormat="1" applyFont="1" applyFill="1" applyBorder="1" applyAlignment="1">
      <alignment horizontal="center" vertical="center"/>
    </xf>
    <xf numFmtId="49" fontId="1" fillId="2" borderId="47" xfId="0" applyNumberFormat="1" applyFont="1" applyFill="1" applyBorder="1" applyAlignment="1">
      <alignment horizontal="center" vertical="center"/>
    </xf>
    <xf numFmtId="49" fontId="0" fillId="2" borderId="47" xfId="0" applyNumberFormat="1" applyFill="1" applyBorder="1" applyAlignment="1">
      <alignment horizontal="center" vertical="center"/>
    </xf>
    <xf numFmtId="49" fontId="2" fillId="2" borderId="15" xfId="0" applyNumberFormat="1" applyFont="1" applyFill="1" applyBorder="1" applyAlignment="1">
      <alignment horizontal="center" vertical="center"/>
    </xf>
    <xf numFmtId="49" fontId="2" fillId="2" borderId="47" xfId="0" applyNumberFormat="1" applyFont="1" applyFill="1" applyBorder="1" applyAlignment="1">
      <alignment horizontal="center" vertical="center"/>
    </xf>
    <xf numFmtId="49" fontId="0" fillId="7" borderId="47" xfId="0" applyNumberFormat="1" applyFill="1" applyBorder="1" applyAlignment="1">
      <alignment horizontal="center" vertical="center"/>
    </xf>
    <xf numFmtId="164" fontId="1" fillId="3" borderId="47" xfId="0" applyNumberFormat="1" applyFont="1" applyFill="1" applyBorder="1" applyAlignment="1">
      <alignment horizontal="center" vertical="center"/>
    </xf>
    <xf numFmtId="164" fontId="0" fillId="4" borderId="13" xfId="0" applyNumberFormat="1" applyFill="1" applyBorder="1" applyAlignment="1">
      <alignment horizontal="center" vertical="center"/>
    </xf>
    <xf numFmtId="164" fontId="2" fillId="4" borderId="13" xfId="0" applyNumberFormat="1" applyFont="1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4" fontId="2" fillId="2" borderId="10" xfId="0" applyNumberFormat="1" applyFont="1" applyFill="1" applyBorder="1" applyAlignment="1">
      <alignment horizontal="center" vertical="center"/>
    </xf>
    <xf numFmtId="164" fontId="0" fillId="3" borderId="22" xfId="0" applyNumberFormat="1" applyFill="1" applyBorder="1" applyAlignment="1">
      <alignment horizontal="center" vertical="center"/>
    </xf>
    <xf numFmtId="164" fontId="1" fillId="3" borderId="49" xfId="0" applyNumberFormat="1" applyFont="1" applyFill="1" applyBorder="1" applyAlignment="1">
      <alignment horizontal="center" vertical="center"/>
    </xf>
    <xf numFmtId="164" fontId="0" fillId="3" borderId="49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1" fillId="2" borderId="9" xfId="0" applyNumberFormat="1" applyFont="1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4" fontId="0" fillId="3" borderId="9" xfId="0" applyNumberFormat="1" applyFill="1" applyBorder="1" applyAlignment="1">
      <alignment horizontal="center" vertical="center"/>
    </xf>
    <xf numFmtId="164" fontId="0" fillId="2" borderId="6" xfId="0" applyNumberFormat="1" applyFill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49" fontId="0" fillId="7" borderId="50" xfId="0" applyNumberFormat="1" applyFill="1" applyBorder="1" applyAlignment="1">
      <alignment horizontal="center"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27" xfId="0" applyFont="1" applyBorder="1" applyAlignment="1">
      <alignment vertical="center"/>
    </xf>
    <xf numFmtId="0" fontId="4" fillId="5" borderId="0" xfId="0" applyFont="1" applyFill="1"/>
    <xf numFmtId="0" fontId="1" fillId="0" borderId="0" xfId="0" applyFont="1" applyAlignment="1">
      <alignment vertical="center"/>
    </xf>
    <xf numFmtId="49" fontId="7" fillId="6" borderId="16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right"/>
    </xf>
    <xf numFmtId="0" fontId="4" fillId="5" borderId="33" xfId="0" applyFont="1" applyFill="1" applyBorder="1"/>
    <xf numFmtId="0" fontId="1" fillId="0" borderId="32" xfId="0" applyFont="1" applyBorder="1" applyAlignment="1">
      <alignment vertical="center"/>
    </xf>
    <xf numFmtId="0" fontId="1" fillId="0" borderId="33" xfId="0" applyFont="1" applyBorder="1" applyAlignment="1">
      <alignment vertical="center"/>
    </xf>
    <xf numFmtId="49" fontId="0" fillId="0" borderId="36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0" fontId="1" fillId="0" borderId="37" xfId="0" applyFont="1" applyBorder="1" applyAlignment="1">
      <alignment vertical="center"/>
    </xf>
    <xf numFmtId="0" fontId="1" fillId="0" borderId="42" xfId="0" applyFont="1" applyBorder="1" applyAlignment="1">
      <alignment vertical="center"/>
    </xf>
    <xf numFmtId="0" fontId="1" fillId="0" borderId="23" xfId="0" applyFont="1" applyBorder="1" applyAlignment="1">
      <alignment vertical="center"/>
    </xf>
    <xf numFmtId="0" fontId="1" fillId="0" borderId="40" xfId="0" applyFont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4" xfId="0" applyFont="1" applyBorder="1" applyAlignment="1">
      <alignment vertical="center"/>
    </xf>
    <xf numFmtId="0" fontId="1" fillId="5" borderId="27" xfId="0" applyFont="1" applyFill="1" applyBorder="1" applyAlignment="1">
      <alignment horizontal="center" vertical="top"/>
    </xf>
    <xf numFmtId="0" fontId="1" fillId="2" borderId="50" xfId="0" applyFont="1" applyFill="1" applyBorder="1" applyAlignment="1">
      <alignment horizontal="center"/>
    </xf>
    <xf numFmtId="164" fontId="2" fillId="0" borderId="53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1" fillId="0" borderId="29" xfId="0" applyNumberFormat="1" applyFont="1" applyBorder="1" applyAlignment="1">
      <alignment horizontal="center" vertical="center"/>
    </xf>
    <xf numFmtId="0" fontId="1" fillId="5" borderId="15" xfId="0" applyFont="1" applyFill="1" applyBorder="1" applyAlignment="1">
      <alignment horizontal="center"/>
    </xf>
    <xf numFmtId="0" fontId="4" fillId="5" borderId="32" xfId="0" applyFont="1" applyFill="1" applyBorder="1"/>
    <xf numFmtId="0" fontId="4" fillId="5" borderId="36" xfId="0" applyFont="1" applyFill="1" applyBorder="1"/>
    <xf numFmtId="0" fontId="1" fillId="0" borderId="42" xfId="0" applyFont="1" applyBorder="1" applyAlignment="1">
      <alignment horizontal="right"/>
    </xf>
    <xf numFmtId="0" fontId="1" fillId="0" borderId="40" xfId="0" applyFont="1" applyBorder="1" applyAlignment="1">
      <alignment horizontal="right"/>
    </xf>
    <xf numFmtId="0" fontId="10" fillId="7" borderId="17" xfId="1" applyNumberFormat="1" applyFill="1" applyBorder="1" applyAlignment="1">
      <alignment horizontal="center"/>
    </xf>
    <xf numFmtId="164" fontId="0" fillId="2" borderId="17" xfId="0" applyNumberFormat="1" applyFill="1" applyBorder="1" applyAlignment="1">
      <alignment horizontal="center" vertical="center"/>
    </xf>
    <xf numFmtId="164" fontId="0" fillId="2" borderId="47" xfId="0" applyNumberFormat="1" applyFill="1" applyBorder="1" applyAlignment="1">
      <alignment horizontal="center" vertical="center"/>
    </xf>
    <xf numFmtId="164" fontId="2" fillId="2" borderId="47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11" fillId="0" borderId="0" xfId="0" applyFont="1" applyAlignment="1">
      <alignment horizontal="center"/>
    </xf>
    <xf numFmtId="0" fontId="4" fillId="5" borderId="20" xfId="0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32" xfId="0" applyFont="1" applyFill="1" applyBorder="1" applyAlignment="1">
      <alignment horizontal="center"/>
    </xf>
    <xf numFmtId="0" fontId="4" fillId="5" borderId="17" xfId="0" applyFont="1" applyFill="1" applyBorder="1" applyAlignment="1">
      <alignment horizontal="center"/>
    </xf>
    <xf numFmtId="0" fontId="4" fillId="5" borderId="51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4" fillId="3" borderId="27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34" xfId="0" applyFont="1" applyFill="1" applyBorder="1" applyAlignment="1">
      <alignment horizontal="center"/>
    </xf>
    <xf numFmtId="0" fontId="4" fillId="3" borderId="36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10" fillId="7" borderId="52" xfId="1" applyNumberFormat="1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164" fontId="1" fillId="0" borderId="37" xfId="0" applyNumberFormat="1" applyFont="1" applyBorder="1" applyAlignment="1">
      <alignment horizontal="center" vertical="center"/>
    </xf>
    <xf numFmtId="164" fontId="2" fillId="0" borderId="40" xfId="0" applyNumberFormat="1" applyFont="1" applyBorder="1" applyAlignment="1">
      <alignment horizontal="center" vertical="center"/>
    </xf>
    <xf numFmtId="164" fontId="1" fillId="0" borderId="45" xfId="0" applyNumberFormat="1" applyFont="1" applyBorder="1" applyAlignment="1">
      <alignment horizontal="center" vertical="center"/>
    </xf>
    <xf numFmtId="164" fontId="2" fillId="0" borderId="46" xfId="0" applyNumberFormat="1" applyFont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164" fontId="6" fillId="0" borderId="27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/>
    </xf>
    <xf numFmtId="164" fontId="6" fillId="0" borderId="34" xfId="0" applyNumberFormat="1" applyFont="1" applyBorder="1" applyAlignment="1">
      <alignment horizontal="center" vertical="center"/>
    </xf>
    <xf numFmtId="164" fontId="6" fillId="0" borderId="36" xfId="0" applyNumberFormat="1" applyFont="1" applyBorder="1" applyAlignment="1">
      <alignment horizontal="center" vertical="center"/>
    </xf>
    <xf numFmtId="164" fontId="6" fillId="0" borderId="35" xfId="0" applyNumberFormat="1" applyFont="1" applyBorder="1" applyAlignment="1">
      <alignment horizontal="center" vertical="center"/>
    </xf>
    <xf numFmtId="0" fontId="1" fillId="7" borderId="34" xfId="0" applyFont="1" applyFill="1" applyBorder="1" applyAlignment="1">
      <alignment horizontal="center" vertical="center"/>
    </xf>
    <xf numFmtId="0" fontId="1" fillId="7" borderId="3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1" fillId="7" borderId="17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7" borderId="32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5"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2DF5"/>
      <color rgb="FFD656C4"/>
      <color rgb="FFFF9843"/>
      <color rgb="FF09F3FF"/>
      <color rgb="FF11ED26"/>
      <color rgb="FFFF5757"/>
      <color rgb="FFFF6565"/>
      <color rgb="FF9954CC"/>
      <color rgb="FFFCFC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connections" Target="connections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Ms01\Datenpfad\Betriebsorganisation\Fertigungsdaten\K\Klauke\KLA-HE18814\Zeichnungsdaten\KLA-HE18814-C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35502-4CD1-45A0-9292-09C8DD0C386C}">
  <sheetPr codeName="Tabelle7"/>
  <dimension ref="A1:D17"/>
  <sheetViews>
    <sheetView tabSelected="1" workbookViewId="0">
      <selection activeCell="B4" sqref="B4"/>
    </sheetView>
  </sheetViews>
  <sheetFormatPr baseColWidth="10" defaultRowHeight="12.75" x14ac:dyDescent="0.2"/>
  <cols>
    <col min="1" max="1" width="25.7109375" customWidth="1"/>
    <col min="2" max="2" width="18.7109375" customWidth="1"/>
  </cols>
  <sheetData>
    <row r="1" spans="1:4" ht="15" x14ac:dyDescent="0.2">
      <c r="A1" s="98" t="s">
        <v>61</v>
      </c>
      <c r="B1" s="98"/>
      <c r="C1" s="98"/>
      <c r="D1" s="98"/>
    </row>
    <row r="3" spans="1:4" x14ac:dyDescent="0.2">
      <c r="A3" t="s">
        <v>52</v>
      </c>
      <c r="B3" s="3" t="s">
        <v>63</v>
      </c>
    </row>
    <row r="5" spans="1:4" x14ac:dyDescent="0.2">
      <c r="A5" t="s">
        <v>53</v>
      </c>
      <c r="B5" t="s">
        <v>63</v>
      </c>
    </row>
    <row r="6" spans="1:4" x14ac:dyDescent="0.2">
      <c r="A6" t="s">
        <v>54</v>
      </c>
      <c r="B6">
        <v>43654</v>
      </c>
    </row>
    <row r="7" spans="1:4" ht="63.75" x14ac:dyDescent="0.2">
      <c r="A7" t="s">
        <v>34</v>
      </c>
      <c r="B7" s="96" t="s">
        <v>64</v>
      </c>
    </row>
    <row r="8" spans="1:4" x14ac:dyDescent="0.2">
      <c r="A8" t="s">
        <v>59</v>
      </c>
      <c r="B8" t="s">
        <v>65</v>
      </c>
    </row>
    <row r="9" spans="1:4" x14ac:dyDescent="0.2">
      <c r="A9" t="s">
        <v>33</v>
      </c>
      <c r="B9" t="s">
        <v>66</v>
      </c>
    </row>
    <row r="10" spans="1:4" x14ac:dyDescent="0.2">
      <c r="A10" t="s">
        <v>55</v>
      </c>
      <c r="B10" t="s">
        <v>70</v>
      </c>
    </row>
    <row r="11" spans="1:4" x14ac:dyDescent="0.2">
      <c r="A11" t="s">
        <v>56</v>
      </c>
      <c r="B11" t="s">
        <v>69</v>
      </c>
    </row>
    <row r="12" spans="1:4" x14ac:dyDescent="0.2">
      <c r="A12" t="s">
        <v>37</v>
      </c>
      <c r="B12" t="s">
        <v>67</v>
      </c>
    </row>
    <row r="13" spans="1:4" x14ac:dyDescent="0.2">
      <c r="A13" t="s">
        <v>57</v>
      </c>
      <c r="B13">
        <v>1</v>
      </c>
    </row>
    <row r="14" spans="1:4" x14ac:dyDescent="0.2">
      <c r="A14" t="s">
        <v>58</v>
      </c>
      <c r="B14" s="97">
        <v>45330</v>
      </c>
    </row>
    <row r="15" spans="1:4" x14ac:dyDescent="0.2">
      <c r="A15" t="s">
        <v>60</v>
      </c>
      <c r="B15">
        <v>194</v>
      </c>
    </row>
    <row r="16" spans="1:4" x14ac:dyDescent="0.2">
      <c r="A16" t="s">
        <v>0</v>
      </c>
      <c r="B16" t="s">
        <v>62</v>
      </c>
    </row>
    <row r="17" spans="1:2" x14ac:dyDescent="0.2">
      <c r="A17" t="s">
        <v>68</v>
      </c>
      <c r="B17" t="s">
        <v>50</v>
      </c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CFE89-BC86-4B09-AF00-A1B79B9E1B3E}">
  <sheetPr codeName="Tabelle1">
    <pageSetUpPr fitToPage="1"/>
  </sheetPr>
  <dimension ref="A1:AC51"/>
  <sheetViews>
    <sheetView zoomScaleNormal="100" workbookViewId="0">
      <selection activeCell="E1" sqref="E1:G1"/>
    </sheetView>
  </sheetViews>
  <sheetFormatPr baseColWidth="10" defaultRowHeight="12.75" x14ac:dyDescent="0.2"/>
  <cols>
    <col min="1" max="1" width="10.28515625" customWidth="1"/>
    <col min="2" max="2" width="12.42578125" customWidth="1"/>
    <col min="3" max="3" width="13.7109375" style="1" customWidth="1"/>
    <col min="4" max="17" width="13.7109375" customWidth="1"/>
    <col min="18" max="18" width="15.7109375" customWidth="1"/>
    <col min="19" max="19" width="9" customWidth="1"/>
    <col min="20" max="20" width="11.85546875" customWidth="1"/>
  </cols>
  <sheetData>
    <row r="1" spans="1:20" ht="13.5" thickBot="1" x14ac:dyDescent="0.25">
      <c r="A1" s="114" t="e" vm="1">
        <v>#VALUE!</v>
      </c>
      <c r="B1" s="115"/>
      <c r="C1" s="115"/>
      <c r="D1" s="116"/>
      <c r="E1" s="99" t="s">
        <v>36</v>
      </c>
      <c r="F1" s="100"/>
      <c r="G1" s="101"/>
      <c r="H1" s="99" t="s">
        <v>7</v>
      </c>
      <c r="I1" s="100"/>
      <c r="J1" s="101"/>
      <c r="K1" s="17"/>
      <c r="L1" s="17" t="str">
        <f>"\\MS01\Datenpfad\Fauser\Zeichnungen\" &amp; F2 &amp; ".jpg"</f>
        <v>\\MS01\Datenpfad\Fauser\Zeichnungen\KLA-HE18814.jpg</v>
      </c>
      <c r="M1" s="17"/>
      <c r="N1" s="17"/>
      <c r="O1" s="17"/>
      <c r="P1" s="88"/>
      <c r="Q1" s="64"/>
      <c r="R1" s="65"/>
      <c r="S1" s="65"/>
      <c r="T1" s="72"/>
    </row>
    <row r="2" spans="1:20" ht="15" customHeight="1" x14ac:dyDescent="0.2">
      <c r="A2" s="117"/>
      <c r="B2" s="118"/>
      <c r="C2" s="118"/>
      <c r="D2" s="118"/>
      <c r="E2" s="30" t="s">
        <v>33</v>
      </c>
      <c r="F2" s="112" t="str">
        <f>Stammdaten!B9</f>
        <v>KLA-HE18814</v>
      </c>
      <c r="G2" s="113"/>
      <c r="H2" s="30" t="s">
        <v>39</v>
      </c>
      <c r="I2" s="112">
        <f>Stammdaten!B6</f>
        <v>43654</v>
      </c>
      <c r="J2" s="121"/>
      <c r="K2" s="67"/>
      <c r="L2" s="67"/>
      <c r="M2" s="67"/>
      <c r="N2" s="67"/>
      <c r="O2" s="67"/>
      <c r="P2" s="71"/>
      <c r="Q2" s="66"/>
      <c r="R2" s="68"/>
      <c r="S2" s="68"/>
      <c r="T2" s="73"/>
    </row>
    <row r="3" spans="1:20" ht="15" customHeight="1" x14ac:dyDescent="0.2">
      <c r="A3" s="117"/>
      <c r="B3" s="118"/>
      <c r="C3" s="118"/>
      <c r="D3" s="118"/>
      <c r="E3" s="31" t="s">
        <v>34</v>
      </c>
      <c r="F3" s="126" t="str">
        <f>Stammdaten!B7</f>
        <v>Halter Mapax Maincor_x000D_
Herstellerkennung: eine Rille, x = ø 35 mm</v>
      </c>
      <c r="G3" s="127"/>
      <c r="H3" s="31" t="s">
        <v>40</v>
      </c>
      <c r="I3" s="110" t="str">
        <f>Stammdaten!B5</f>
        <v>LG-43654-01-001</v>
      </c>
      <c r="J3" s="111"/>
      <c r="K3" s="67"/>
      <c r="L3" s="67"/>
      <c r="M3" s="67"/>
      <c r="N3" s="67"/>
      <c r="O3" s="67"/>
      <c r="P3" s="71"/>
      <c r="Q3" s="66"/>
      <c r="R3" s="68"/>
      <c r="S3" s="68"/>
      <c r="T3" s="73"/>
    </row>
    <row r="4" spans="1:20" ht="15" customHeight="1" x14ac:dyDescent="0.2">
      <c r="A4" s="117"/>
      <c r="B4" s="118"/>
      <c r="C4" s="118"/>
      <c r="D4" s="118"/>
      <c r="E4" s="31" t="s">
        <v>0</v>
      </c>
      <c r="F4" s="110" t="str">
        <f>Stammdaten!B16</f>
        <v>Gustav Klauke GmbH</v>
      </c>
      <c r="G4" s="108"/>
      <c r="H4" s="31" t="s">
        <v>38</v>
      </c>
      <c r="I4" s="110"/>
      <c r="J4" s="111"/>
      <c r="K4" s="67"/>
      <c r="L4" s="67"/>
      <c r="M4" s="67"/>
      <c r="N4" s="67"/>
      <c r="O4" s="67"/>
      <c r="P4" s="71"/>
      <c r="Q4" s="66"/>
      <c r="R4" s="68"/>
      <c r="S4" s="68"/>
      <c r="T4" s="73"/>
    </row>
    <row r="5" spans="1:20" ht="15" customHeight="1" x14ac:dyDescent="0.2">
      <c r="A5" s="117"/>
      <c r="B5" s="118"/>
      <c r="C5" s="118"/>
      <c r="D5" s="118"/>
      <c r="E5" s="31" t="s">
        <v>35</v>
      </c>
      <c r="F5" s="108" t="str">
        <f>Stammdaten!B10</f>
        <v>HE.18814</v>
      </c>
      <c r="G5" s="109"/>
      <c r="H5" s="31" t="s">
        <v>15</v>
      </c>
      <c r="I5" s="110"/>
      <c r="J5" s="111"/>
      <c r="K5" s="67"/>
      <c r="L5" s="67"/>
      <c r="M5" s="67"/>
      <c r="N5" s="67"/>
      <c r="O5" s="67"/>
      <c r="P5" s="71"/>
      <c r="Q5" s="66"/>
      <c r="R5" s="68"/>
      <c r="S5" s="68"/>
      <c r="T5" s="73"/>
    </row>
    <row r="6" spans="1:20" ht="15" customHeight="1" thickBot="1" x14ac:dyDescent="0.25">
      <c r="A6" s="117"/>
      <c r="B6" s="118"/>
      <c r="C6" s="118"/>
      <c r="D6" s="118"/>
      <c r="E6" s="90" t="s">
        <v>47</v>
      </c>
      <c r="F6" s="110" t="str">
        <f>Stammdaten!B11</f>
        <v>C</v>
      </c>
      <c r="G6" s="108"/>
      <c r="H6" s="91" t="s">
        <v>48</v>
      </c>
      <c r="I6" s="122" t="s">
        <v>49</v>
      </c>
      <c r="J6" s="123"/>
      <c r="K6" s="67"/>
      <c r="L6" s="67"/>
      <c r="M6" s="67"/>
      <c r="N6" s="67"/>
      <c r="O6" s="67"/>
      <c r="P6" s="71"/>
      <c r="Q6" s="66"/>
      <c r="R6" s="68"/>
      <c r="S6" s="68"/>
      <c r="T6" s="73"/>
    </row>
    <row r="7" spans="1:20" ht="15" customHeight="1" thickBot="1" x14ac:dyDescent="0.25">
      <c r="A7" s="119"/>
      <c r="B7" s="120"/>
      <c r="C7" s="120"/>
      <c r="D7" s="120"/>
      <c r="E7" s="32" t="s">
        <v>37</v>
      </c>
      <c r="F7" s="132" t="str">
        <f>Stammdaten!B12</f>
        <v>EN AW-2024</v>
      </c>
      <c r="G7" s="123"/>
      <c r="H7" s="92" t="str">
        <f>HYPERLINK("\\MS01\Datenpfad\Fauser\Zeichnungen\" &amp; F2 &amp; ".jpg", "Zeichnung")</f>
        <v>Zeichnung</v>
      </c>
      <c r="I7" s="124" t="s">
        <v>51</v>
      </c>
      <c r="J7" s="125"/>
      <c r="K7" s="67"/>
      <c r="L7" s="67"/>
      <c r="M7" s="67"/>
      <c r="N7" s="67"/>
      <c r="O7" s="67"/>
      <c r="P7" s="71"/>
      <c r="Q7" s="66"/>
      <c r="R7" s="68"/>
      <c r="S7" s="68"/>
      <c r="T7" s="73"/>
    </row>
    <row r="8" spans="1:20" ht="15" customHeight="1" thickBot="1" x14ac:dyDescent="0.25">
      <c r="A8" s="102" t="s">
        <v>42</v>
      </c>
      <c r="B8" s="103"/>
      <c r="C8" s="103"/>
      <c r="D8" s="104"/>
      <c r="E8" s="70"/>
      <c r="F8" s="61"/>
      <c r="G8" s="62"/>
      <c r="H8" s="70"/>
      <c r="I8" s="74"/>
      <c r="J8" s="75"/>
      <c r="K8" s="67"/>
      <c r="L8" s="67"/>
      <c r="M8" s="67"/>
      <c r="N8" s="67"/>
      <c r="O8" s="67"/>
      <c r="P8" s="71"/>
      <c r="Q8" s="66"/>
      <c r="R8" s="68"/>
      <c r="S8" s="68"/>
      <c r="T8" s="73"/>
    </row>
    <row r="9" spans="1:20" ht="15" customHeight="1" thickBot="1" x14ac:dyDescent="0.25">
      <c r="A9" s="76"/>
      <c r="B9" s="105" t="s">
        <v>2</v>
      </c>
      <c r="C9" s="105"/>
      <c r="D9" s="15" t="s">
        <v>3</v>
      </c>
      <c r="E9" s="70"/>
      <c r="F9" s="61"/>
      <c r="G9" s="62"/>
      <c r="H9" s="70"/>
      <c r="I9" s="74"/>
      <c r="J9" s="75"/>
      <c r="K9" s="67"/>
      <c r="L9" s="67"/>
      <c r="M9" s="67"/>
      <c r="N9" s="67"/>
      <c r="O9" s="67"/>
      <c r="P9" s="71"/>
      <c r="Q9" s="102" t="s">
        <v>42</v>
      </c>
      <c r="R9" s="103"/>
      <c r="S9" s="103"/>
      <c r="T9" s="104"/>
    </row>
    <row r="10" spans="1:20" ht="15" customHeight="1" thickBot="1" x14ac:dyDescent="0.25">
      <c r="A10" s="77" t="s">
        <v>41</v>
      </c>
      <c r="B10" s="106"/>
      <c r="C10" s="107"/>
      <c r="D10" s="78"/>
      <c r="E10" s="70"/>
      <c r="F10" s="61"/>
      <c r="G10" s="62"/>
      <c r="H10" s="70"/>
      <c r="I10" s="74"/>
      <c r="J10" s="75"/>
      <c r="K10" s="67"/>
      <c r="L10" s="67"/>
      <c r="M10" s="67"/>
      <c r="N10" s="67"/>
      <c r="O10" s="67"/>
      <c r="P10" s="67"/>
      <c r="Q10" s="76"/>
      <c r="R10" s="105" t="s">
        <v>2</v>
      </c>
      <c r="S10" s="105"/>
      <c r="T10" s="15" t="s">
        <v>3</v>
      </c>
    </row>
    <row r="11" spans="1:20" ht="15" customHeight="1" thickBot="1" x14ac:dyDescent="0.25">
      <c r="A11" s="79" t="s">
        <v>1</v>
      </c>
      <c r="B11" s="133"/>
      <c r="C11" s="134"/>
      <c r="D11" s="81"/>
      <c r="E11" s="70"/>
      <c r="F11" s="61"/>
      <c r="G11" s="62"/>
      <c r="H11" s="70"/>
      <c r="I11" s="74"/>
      <c r="J11" s="75"/>
      <c r="K11" s="89"/>
      <c r="L11" s="89"/>
      <c r="M11" s="89"/>
      <c r="N11" s="89"/>
      <c r="O11" s="89"/>
      <c r="P11" s="89"/>
      <c r="Q11" s="79" t="s">
        <v>41</v>
      </c>
      <c r="R11" s="80"/>
      <c r="S11" s="80"/>
      <c r="T11" s="81"/>
    </row>
    <row r="12" spans="1:20" ht="14.25" customHeight="1" thickBot="1" x14ac:dyDescent="0.25">
      <c r="A12" s="138" t="s">
        <v>17</v>
      </c>
      <c r="B12" s="139"/>
      <c r="C12" s="69" t="s">
        <v>19</v>
      </c>
      <c r="D12" s="69" t="s">
        <v>18</v>
      </c>
      <c r="E12" s="69" t="s">
        <v>20</v>
      </c>
      <c r="F12" s="69" t="s">
        <v>21</v>
      </c>
      <c r="G12" s="69" t="s">
        <v>22</v>
      </c>
      <c r="H12" s="69" t="s">
        <v>23</v>
      </c>
      <c r="I12" s="69" t="s">
        <v>24</v>
      </c>
      <c r="J12" s="69" t="s">
        <v>25</v>
      </c>
      <c r="K12" s="69" t="s">
        <v>26</v>
      </c>
      <c r="L12" s="69" t="s">
        <v>27</v>
      </c>
      <c r="M12" s="69" t="s">
        <v>28</v>
      </c>
      <c r="N12" s="69" t="s">
        <v>29</v>
      </c>
      <c r="O12" s="69" t="s">
        <v>30</v>
      </c>
      <c r="P12" s="69" t="s">
        <v>31</v>
      </c>
      <c r="Q12" s="69" t="s">
        <v>32</v>
      </c>
      <c r="R12" s="140" t="s">
        <v>6</v>
      </c>
      <c r="S12" s="141"/>
      <c r="T12" s="142"/>
    </row>
    <row r="13" spans="1:20" ht="16.350000000000001" customHeight="1" thickBot="1" x14ac:dyDescent="0.25">
      <c r="A13" s="146" t="s">
        <v>45</v>
      </c>
      <c r="B13" s="147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143"/>
      <c r="S13" s="144"/>
      <c r="T13" s="145"/>
    </row>
    <row r="14" spans="1:20" ht="16.350000000000001" customHeight="1" thickBot="1" x14ac:dyDescent="0.25">
      <c r="A14" s="148" t="s">
        <v>4</v>
      </c>
      <c r="B14" s="149"/>
      <c r="C14" s="36"/>
      <c r="D14" s="36"/>
      <c r="E14" s="36"/>
      <c r="F14" s="37"/>
      <c r="G14" s="36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150">
        <v>0</v>
      </c>
      <c r="S14" s="151"/>
      <c r="T14" s="156" t="s">
        <v>5</v>
      </c>
    </row>
    <row r="15" spans="1:20" ht="16.350000000000001" customHeight="1" thickBot="1" x14ac:dyDescent="0.25">
      <c r="A15" s="159" t="s">
        <v>13</v>
      </c>
      <c r="B15" s="160"/>
      <c r="C15" s="39"/>
      <c r="D15" s="39"/>
      <c r="E15" s="39"/>
      <c r="F15" s="40"/>
      <c r="G15" s="39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152"/>
      <c r="S15" s="153"/>
      <c r="T15" s="157"/>
    </row>
    <row r="16" spans="1:20" ht="16.350000000000001" customHeight="1" thickBot="1" x14ac:dyDescent="0.25">
      <c r="A16" s="161" t="s">
        <v>46</v>
      </c>
      <c r="B16" s="162"/>
      <c r="C16" s="42"/>
      <c r="D16" s="42"/>
      <c r="E16" s="42"/>
      <c r="F16" s="43"/>
      <c r="G16" s="42"/>
      <c r="H16" s="44"/>
      <c r="I16" s="45"/>
      <c r="J16" s="45"/>
      <c r="K16" s="45"/>
      <c r="L16" s="45"/>
      <c r="M16" s="45"/>
      <c r="N16" s="45"/>
      <c r="O16" s="45"/>
      <c r="P16" s="45"/>
      <c r="Q16" s="45"/>
      <c r="R16" s="152"/>
      <c r="S16" s="153"/>
      <c r="T16" s="157"/>
    </row>
    <row r="17" spans="1:29" ht="16.350000000000001" customHeight="1" thickBot="1" x14ac:dyDescent="0.25">
      <c r="A17" s="159" t="s">
        <v>16</v>
      </c>
      <c r="B17" s="163"/>
      <c r="C17" s="46"/>
      <c r="D17" s="40"/>
      <c r="E17" s="46"/>
      <c r="F17" s="40"/>
      <c r="G17" s="46"/>
      <c r="H17" s="46"/>
      <c r="I17" s="46"/>
      <c r="J17" s="40"/>
      <c r="K17" s="63"/>
      <c r="L17" s="63"/>
      <c r="M17" s="63"/>
      <c r="N17" s="63"/>
      <c r="O17" s="63"/>
      <c r="P17" s="46"/>
      <c r="Q17" s="40"/>
      <c r="R17" s="152"/>
      <c r="S17" s="153"/>
      <c r="T17" s="157"/>
    </row>
    <row r="18" spans="1:29" ht="16.350000000000001" customHeight="1" thickBot="1" x14ac:dyDescent="0.25">
      <c r="A18" s="34" t="s">
        <v>12</v>
      </c>
      <c r="B18" s="33"/>
      <c r="C18" s="47" t="str">
        <f>IFERROR(AVERAGE(C19,C20),"")</f>
        <v/>
      </c>
      <c r="D18" s="47" t="str">
        <f t="shared" ref="D18:Q18" si="0">IFERROR(AVERAGE(D19,D20),"")</f>
        <v/>
      </c>
      <c r="E18" s="47" t="str">
        <f t="shared" si="0"/>
        <v/>
      </c>
      <c r="F18" s="47" t="str">
        <f t="shared" si="0"/>
        <v/>
      </c>
      <c r="G18" s="47" t="str">
        <f t="shared" si="0"/>
        <v/>
      </c>
      <c r="H18" s="47" t="str">
        <f t="shared" si="0"/>
        <v/>
      </c>
      <c r="I18" s="47" t="str">
        <f t="shared" si="0"/>
        <v/>
      </c>
      <c r="J18" s="47" t="str">
        <f t="shared" si="0"/>
        <v/>
      </c>
      <c r="K18" s="47"/>
      <c r="L18" s="47"/>
      <c r="M18" s="47"/>
      <c r="N18" s="47"/>
      <c r="O18" s="47"/>
      <c r="P18" s="47" t="str">
        <f t="shared" si="0"/>
        <v/>
      </c>
      <c r="Q18" s="47" t="str">
        <f t="shared" si="0"/>
        <v/>
      </c>
      <c r="R18" s="154"/>
      <c r="S18" s="155"/>
      <c r="T18" s="158"/>
    </row>
    <row r="19" spans="1:29" ht="16.350000000000001" customHeight="1" x14ac:dyDescent="0.2">
      <c r="A19" s="87" t="s">
        <v>43</v>
      </c>
      <c r="B19" s="10" t="s">
        <v>9</v>
      </c>
      <c r="C19" s="48"/>
      <c r="D19" s="48"/>
      <c r="E19" s="48"/>
      <c r="F19" s="48"/>
      <c r="G19" s="48"/>
      <c r="H19" s="49"/>
      <c r="I19" s="48"/>
      <c r="J19" s="48"/>
      <c r="K19" s="48"/>
      <c r="L19" s="48"/>
      <c r="M19" s="48"/>
      <c r="N19" s="48"/>
      <c r="O19" s="48"/>
      <c r="P19" s="49"/>
      <c r="Q19" s="49"/>
      <c r="R19" s="128" t="s">
        <v>3</v>
      </c>
      <c r="S19" s="130" t="s">
        <v>14</v>
      </c>
      <c r="T19" s="135" t="s">
        <v>10</v>
      </c>
    </row>
    <row r="20" spans="1:29" ht="16.350000000000001" customHeight="1" thickBot="1" x14ac:dyDescent="0.25">
      <c r="A20" s="12" t="s">
        <v>44</v>
      </c>
      <c r="B20" s="11" t="s">
        <v>8</v>
      </c>
      <c r="C20" s="50"/>
      <c r="D20" s="50"/>
      <c r="E20" s="50"/>
      <c r="F20" s="50"/>
      <c r="G20" s="50"/>
      <c r="H20" s="51"/>
      <c r="I20" s="50"/>
      <c r="J20" s="50"/>
      <c r="K20" s="50"/>
      <c r="L20" s="50"/>
      <c r="M20" s="50"/>
      <c r="N20" s="50"/>
      <c r="O20" s="50"/>
      <c r="P20" s="51"/>
      <c r="Q20" s="51"/>
      <c r="R20" s="129"/>
      <c r="S20" s="131"/>
      <c r="T20" s="136"/>
    </row>
    <row r="21" spans="1:29" ht="16.350000000000001" customHeight="1" thickBot="1" x14ac:dyDescent="0.25">
      <c r="A21" s="82"/>
      <c r="B21" s="83"/>
      <c r="C21" s="93"/>
      <c r="D21" s="94"/>
      <c r="E21" s="94"/>
      <c r="F21" s="94"/>
      <c r="G21" s="94"/>
      <c r="H21" s="95"/>
      <c r="I21" s="94"/>
      <c r="J21" s="94"/>
      <c r="K21" s="94"/>
      <c r="L21" s="94"/>
      <c r="M21" s="94"/>
      <c r="N21" s="94"/>
      <c r="O21" s="94"/>
      <c r="P21" s="95"/>
      <c r="Q21" s="95"/>
      <c r="R21" s="84"/>
      <c r="S21" s="85"/>
      <c r="T21" s="86"/>
    </row>
    <row r="22" spans="1:29" s="2" customFormat="1" ht="20.100000000000001" customHeight="1" x14ac:dyDescent="0.25">
      <c r="A22" s="8"/>
      <c r="B22" s="9">
        <v>1</v>
      </c>
      <c r="C22" s="52"/>
      <c r="D22" s="54"/>
      <c r="E22" s="53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22"/>
      <c r="S22" s="26"/>
      <c r="T22" s="18"/>
      <c r="U22" s="16"/>
      <c r="V22" s="16"/>
      <c r="W22" s="16"/>
      <c r="X22" s="16"/>
      <c r="Y22" s="16"/>
      <c r="Z22" s="16"/>
      <c r="AA22" s="16"/>
      <c r="AB22" s="16"/>
      <c r="AC22" s="16"/>
    </row>
    <row r="23" spans="1:29" s="2" customFormat="1" ht="20.100000000000001" customHeight="1" x14ac:dyDescent="0.25">
      <c r="A23" s="13"/>
      <c r="B23" s="4">
        <v>2</v>
      </c>
      <c r="C23" s="55"/>
      <c r="D23" s="56"/>
      <c r="E23" s="57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23"/>
      <c r="S23" s="27"/>
      <c r="T23" s="19"/>
      <c r="U23" s="16"/>
      <c r="V23" s="16"/>
      <c r="W23" s="16"/>
      <c r="X23" s="16"/>
      <c r="Y23" s="16"/>
      <c r="Z23" s="16"/>
      <c r="AA23" s="16"/>
      <c r="AB23" s="16"/>
      <c r="AC23" s="16"/>
    </row>
    <row r="24" spans="1:29" ht="20.100000000000001" customHeight="1" x14ac:dyDescent="0.25">
      <c r="A24" s="6"/>
      <c r="B24" s="7">
        <v>3</v>
      </c>
      <c r="C24" s="58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24"/>
      <c r="S24" s="28"/>
      <c r="T24" s="20"/>
      <c r="U24" s="16"/>
      <c r="V24" s="16"/>
      <c r="W24" s="16"/>
      <c r="X24" s="16"/>
      <c r="Y24" s="16"/>
      <c r="Z24" s="16"/>
      <c r="AA24" s="16"/>
      <c r="AB24" s="16"/>
      <c r="AC24" s="16"/>
    </row>
    <row r="25" spans="1:29" s="2" customFormat="1" ht="20.100000000000001" customHeight="1" x14ac:dyDescent="0.25">
      <c r="A25" s="13"/>
      <c r="B25" s="4">
        <v>4</v>
      </c>
      <c r="C25" s="55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23"/>
      <c r="S25" s="27"/>
      <c r="T25" s="19"/>
      <c r="U25" s="16"/>
      <c r="V25" s="16"/>
      <c r="W25" s="16"/>
      <c r="X25" s="16"/>
      <c r="Y25" s="16"/>
      <c r="Z25" s="16"/>
      <c r="AA25" s="16"/>
      <c r="AB25" s="16"/>
      <c r="AC25" s="16"/>
    </row>
    <row r="26" spans="1:29" ht="20.100000000000001" customHeight="1" x14ac:dyDescent="0.25">
      <c r="A26" s="6"/>
      <c r="B26" s="7">
        <v>5</v>
      </c>
      <c r="C26" s="58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24"/>
      <c r="S26" s="28"/>
      <c r="T26" s="20"/>
      <c r="U26" s="16"/>
      <c r="V26" s="16"/>
      <c r="W26" s="16"/>
      <c r="X26" s="16"/>
      <c r="Y26" s="16"/>
      <c r="Z26" s="16"/>
      <c r="AA26" s="16"/>
      <c r="AB26" s="16"/>
      <c r="AC26" s="16"/>
    </row>
    <row r="27" spans="1:29" s="2" customFormat="1" ht="20.100000000000001" customHeight="1" x14ac:dyDescent="0.25">
      <c r="A27" s="13"/>
      <c r="B27" s="4">
        <v>6</v>
      </c>
      <c r="C27" s="55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23"/>
      <c r="S27" s="27"/>
      <c r="T27" s="19"/>
      <c r="U27" s="16"/>
      <c r="V27" s="16"/>
      <c r="W27" s="16"/>
      <c r="X27" s="16"/>
      <c r="Y27" s="16"/>
      <c r="Z27" s="16"/>
      <c r="AA27" s="16"/>
      <c r="AB27" s="16"/>
      <c r="AC27" s="16"/>
    </row>
    <row r="28" spans="1:29" ht="20.100000000000001" customHeight="1" x14ac:dyDescent="0.25">
      <c r="A28" s="6"/>
      <c r="B28" s="7">
        <v>7</v>
      </c>
      <c r="C28" s="58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24"/>
      <c r="S28" s="28"/>
      <c r="T28" s="20"/>
      <c r="U28" s="16"/>
      <c r="V28" s="16"/>
      <c r="W28" s="16"/>
      <c r="X28" s="16"/>
      <c r="Y28" s="16"/>
      <c r="Z28" s="16"/>
      <c r="AA28" s="16"/>
      <c r="AB28" s="16"/>
      <c r="AC28" s="16"/>
    </row>
    <row r="29" spans="1:29" s="2" customFormat="1" ht="20.100000000000001" customHeight="1" x14ac:dyDescent="0.25">
      <c r="A29" s="13"/>
      <c r="B29" s="4">
        <v>8</v>
      </c>
      <c r="C29" s="55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23"/>
      <c r="S29" s="27"/>
      <c r="T29" s="19"/>
      <c r="U29" s="16"/>
      <c r="V29" s="16"/>
      <c r="W29" s="16"/>
      <c r="X29" s="16"/>
      <c r="Y29" s="16"/>
      <c r="Z29" s="16"/>
      <c r="AA29" s="16"/>
      <c r="AB29" s="16"/>
      <c r="AC29" s="16"/>
    </row>
    <row r="30" spans="1:29" ht="20.100000000000001" customHeight="1" x14ac:dyDescent="0.25">
      <c r="A30" s="6"/>
      <c r="B30" s="7">
        <v>9</v>
      </c>
      <c r="C30" s="58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24"/>
      <c r="S30" s="28"/>
      <c r="T30" s="20"/>
      <c r="U30" s="16"/>
      <c r="V30" s="16"/>
      <c r="W30" s="16"/>
      <c r="X30" s="16"/>
      <c r="Y30" s="16"/>
      <c r="Z30" s="16"/>
      <c r="AA30" s="16"/>
      <c r="AB30" s="16"/>
      <c r="AC30" s="16"/>
    </row>
    <row r="31" spans="1:29" s="2" customFormat="1" ht="20.100000000000001" customHeight="1" x14ac:dyDescent="0.25">
      <c r="A31" s="13"/>
      <c r="B31" s="4">
        <v>10</v>
      </c>
      <c r="C31" s="55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23"/>
      <c r="S31" s="27"/>
      <c r="T31" s="19"/>
      <c r="U31" s="16"/>
      <c r="V31" s="16"/>
      <c r="W31" s="16"/>
      <c r="X31" s="16"/>
      <c r="Y31" s="16"/>
      <c r="Z31" s="16"/>
      <c r="AA31" s="16"/>
      <c r="AB31" s="16"/>
      <c r="AC31" s="16"/>
    </row>
    <row r="32" spans="1:29" ht="20.100000000000001" customHeight="1" x14ac:dyDescent="0.25">
      <c r="A32" s="6"/>
      <c r="B32" s="7">
        <v>11</v>
      </c>
      <c r="C32" s="58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24"/>
      <c r="S32" s="28"/>
      <c r="T32" s="20"/>
    </row>
    <row r="33" spans="1:20" ht="20.100000000000001" customHeight="1" x14ac:dyDescent="0.25">
      <c r="A33" s="13"/>
      <c r="B33" s="4">
        <v>12</v>
      </c>
      <c r="C33" s="55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23"/>
      <c r="S33" s="27"/>
      <c r="T33" s="19"/>
    </row>
    <row r="34" spans="1:20" ht="20.100000000000001" customHeight="1" x14ac:dyDescent="0.25">
      <c r="A34" s="6"/>
      <c r="B34" s="7">
        <v>13</v>
      </c>
      <c r="C34" s="58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24"/>
      <c r="S34" s="28"/>
      <c r="T34" s="20"/>
    </row>
    <row r="35" spans="1:20" ht="20.100000000000001" customHeight="1" x14ac:dyDescent="0.25">
      <c r="A35" s="13"/>
      <c r="B35" s="4">
        <v>14</v>
      </c>
      <c r="C35" s="55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23"/>
      <c r="S35" s="27"/>
      <c r="T35" s="19"/>
    </row>
    <row r="36" spans="1:20" ht="20.100000000000001" customHeight="1" x14ac:dyDescent="0.25">
      <c r="A36" s="6"/>
      <c r="B36" s="7">
        <v>15</v>
      </c>
      <c r="C36" s="58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24"/>
      <c r="S36" s="28"/>
      <c r="T36" s="20"/>
    </row>
    <row r="37" spans="1:20" ht="20.100000000000001" customHeight="1" x14ac:dyDescent="0.25">
      <c r="A37" s="13"/>
      <c r="B37" s="4">
        <v>16</v>
      </c>
      <c r="C37" s="55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23"/>
      <c r="S37" s="27"/>
      <c r="T37" s="19"/>
    </row>
    <row r="38" spans="1:20" ht="20.100000000000001" customHeight="1" x14ac:dyDescent="0.25">
      <c r="A38" s="6"/>
      <c r="B38" s="7">
        <v>17</v>
      </c>
      <c r="C38" s="58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24"/>
      <c r="S38" s="28"/>
      <c r="T38" s="20"/>
    </row>
    <row r="39" spans="1:20" ht="20.100000000000001" customHeight="1" x14ac:dyDescent="0.25">
      <c r="A39" s="13"/>
      <c r="B39" s="4">
        <v>18</v>
      </c>
      <c r="C39" s="55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23"/>
      <c r="S39" s="27"/>
      <c r="T39" s="19"/>
    </row>
    <row r="40" spans="1:20" ht="20.100000000000001" customHeight="1" x14ac:dyDescent="0.25">
      <c r="A40" s="6"/>
      <c r="B40" s="7">
        <v>19</v>
      </c>
      <c r="C40" s="58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24"/>
      <c r="S40" s="28"/>
      <c r="T40" s="20"/>
    </row>
    <row r="41" spans="1:20" ht="20.100000000000001" customHeight="1" thickBot="1" x14ac:dyDescent="0.3">
      <c r="A41" s="14"/>
      <c r="B41" s="5">
        <v>20</v>
      </c>
      <c r="C41" s="6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25"/>
      <c r="S41" s="29"/>
      <c r="T41" s="21"/>
    </row>
    <row r="42" spans="1:20" ht="16.350000000000001" customHeight="1" x14ac:dyDescent="0.2">
      <c r="A42" s="1"/>
      <c r="B42" s="1"/>
      <c r="D42" s="1"/>
      <c r="F42" s="137" t="s">
        <v>11</v>
      </c>
      <c r="G42" s="137"/>
      <c r="H42" s="137"/>
      <c r="I42" s="137"/>
      <c r="J42" s="137"/>
      <c r="K42" s="1"/>
      <c r="L42" s="1"/>
      <c r="M42" s="1"/>
      <c r="N42" s="1"/>
      <c r="O42" s="1"/>
      <c r="Q42" s="1"/>
    </row>
    <row r="43" spans="1:20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Q43" s="1"/>
    </row>
    <row r="44" spans="1:20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Q44" s="1"/>
    </row>
    <row r="45" spans="1:20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Q45" s="1"/>
    </row>
    <row r="46" spans="1:20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Q46" s="1"/>
    </row>
    <row r="47" spans="1:20" ht="16.350000000000001" customHeight="1" x14ac:dyDescent="0.2">
      <c r="A47" s="1"/>
      <c r="B47" s="1"/>
    </row>
    <row r="48" spans="1:20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4">
    <mergeCell ref="B11:C11"/>
    <mergeCell ref="T19:T20"/>
    <mergeCell ref="F42:J42"/>
    <mergeCell ref="A12:B12"/>
    <mergeCell ref="R12:T13"/>
    <mergeCell ref="A13:B13"/>
    <mergeCell ref="A14:B14"/>
    <mergeCell ref="R14:S18"/>
    <mergeCell ref="T14:T18"/>
    <mergeCell ref="A15:B15"/>
    <mergeCell ref="A16:B16"/>
    <mergeCell ref="A17:B17"/>
    <mergeCell ref="F6:G6"/>
    <mergeCell ref="F4:G4"/>
    <mergeCell ref="F3:G3"/>
    <mergeCell ref="R19:R20"/>
    <mergeCell ref="S19:S20"/>
    <mergeCell ref="F7:G7"/>
    <mergeCell ref="H1:J1"/>
    <mergeCell ref="Q9:T9"/>
    <mergeCell ref="R10:S10"/>
    <mergeCell ref="A8:D8"/>
    <mergeCell ref="B9:C9"/>
    <mergeCell ref="B10:C10"/>
    <mergeCell ref="F5:G5"/>
    <mergeCell ref="I5:J5"/>
    <mergeCell ref="F2:G2"/>
    <mergeCell ref="A1:D7"/>
    <mergeCell ref="I2:J2"/>
    <mergeCell ref="I3:J3"/>
    <mergeCell ref="I4:J4"/>
    <mergeCell ref="I6:J6"/>
    <mergeCell ref="I7:J7"/>
    <mergeCell ref="E1:G1"/>
  </mergeCells>
  <phoneticPr fontId="9" type="noConversion"/>
  <conditionalFormatting sqref="C22:C41">
    <cfRule type="cellIs" dxfId="4" priority="5" operator="notBetween">
      <formula>$C$19</formula>
      <formula>$C$20</formula>
    </cfRule>
  </conditionalFormatting>
  <conditionalFormatting sqref="C22:Q22 C24:Q24 C26:Q26 C28:Q28 C30:Q30 C32:Q32 C34:Q34 C36:Q36 C38:Q38 C40:Q40">
    <cfRule type="containsBlanks" dxfId="3" priority="1">
      <formula>LEN(TRIM(C22))=0</formula>
    </cfRule>
  </conditionalFormatting>
  <conditionalFormatting sqref="C23:Q23 C25:Q25 C27:Q27 C29:Q29 C31:Q31 C33:Q33 C35:Q35 C37:Q37 C39:Q39 C41:Q41">
    <cfRule type="containsBlanks" dxfId="2" priority="2">
      <formula>LEN(TRIM(C23))=0</formula>
    </cfRule>
  </conditionalFormatting>
  <conditionalFormatting sqref="D22:D41">
    <cfRule type="cellIs" dxfId="1" priority="4" operator="notBetween">
      <formula>$D$19</formula>
      <formula>$D$20</formula>
    </cfRule>
  </conditionalFormatting>
  <conditionalFormatting sqref="E22:Q41">
    <cfRule type="cellIs" dxfId="0" priority="3" operator="notBetween">
      <formula>E$19</formula>
      <formula>E$20</formula>
    </cfRule>
  </conditionalFormatting>
  <dataValidations count="1">
    <dataValidation allowBlank="1" showInputMessage="1" showErrorMessage="1" error="Wert nicht kleiner als Maximalwert !" sqref="C20:C21" xr:uid="{158B6F03-9E3E-4042-B4F9-3ADE6659F528}"/>
  </dataValidations>
  <hyperlinks>
    <hyperlink ref="I7" r:id="rId1" xr:uid="{CBD5D0AC-8364-48B2-BAF1-E30E936C66C7}"/>
  </hyperlinks>
  <pageMargins left="0.23622047244094491" right="0.23622047244094491" top="0.31" bottom="0" header="0.31496062992125984" footer="0"/>
  <pageSetup paperSize="9" scale="74" orientation="landscape" r:id="rId2"/>
  <headerFooter alignWithMargins="0">
    <oddFooter>&amp;C&amp;8&amp;Z&amp;F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2AAEE1-9343-4320-B33E-307F2CA39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Stammdaten</vt:lpstr>
      <vt:lpstr>AG 20</vt:lpstr>
      <vt:lpstr>'AG 20'!Druckbereich</vt:lpstr>
    </vt:vector>
  </TitlesOfParts>
  <Company>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tassler</dc:creator>
  <cp:lastModifiedBy>Max Mothes</cp:lastModifiedBy>
  <cp:lastPrinted>2021-03-17T14:38:19Z</cp:lastPrinted>
  <dcterms:created xsi:type="dcterms:W3CDTF">2000-10-19T08:06:30Z</dcterms:created>
  <dcterms:modified xsi:type="dcterms:W3CDTF">2024-10-22T11:44:06Z</dcterms:modified>
</cp:coreProperties>
</file>